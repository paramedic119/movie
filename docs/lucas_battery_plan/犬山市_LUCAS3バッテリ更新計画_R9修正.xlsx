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較まとめ" sheetId="1" state="visible" r:id="rId1"/>
    <sheet name="3年維持版" sheetId="2" state="visible" r:id="rId2"/>
    <sheet name="4年維持版" sheetId="3" state="visible" r:id="rId3"/>
    <sheet name="作業手順" sheetId="4" state="visible" r:id="rId4"/>
    <sheet name="前提条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0"/>
  </numFmts>
  <fonts count="11">
    <font>
      <name val="Calibri"/>
      <family val="2"/>
      <color theme="1"/>
      <sz val="11"/>
      <scheme val="minor"/>
    </font>
    <font>
      <name val="ＭＳ Ｐゴシック"/>
      <b val="1"/>
      <color rgb="001F3864"/>
      <sz val="14"/>
    </font>
    <font>
      <name val="ＭＳ Ｐゴシック"/>
      <sz val="9"/>
    </font>
    <font>
      <name val="ＭＳ Ｐゴシック"/>
      <b val="1"/>
      <sz val="9"/>
    </font>
    <font>
      <name val="ＭＳ Ｐゴシック"/>
      <b val="1"/>
      <sz val="11"/>
    </font>
    <font>
      <name val="ＭＳ Ｐゴシック"/>
      <b val="1"/>
      <sz val="10"/>
    </font>
    <font>
      <name val="ＭＳ Ｐゴシック"/>
      <sz val="8"/>
    </font>
    <font>
      <name val="ＭＳ Ｐゴシック"/>
      <b val="1"/>
      <sz val="8"/>
    </font>
    <font>
      <name val="ＭＳ Ｐゴシック"/>
      <sz val="10"/>
    </font>
    <font>
      <name val="ＭＳ Ｐゴシック"/>
      <b val="1"/>
      <color rgb="00FFFFFF"/>
      <sz val="7"/>
    </font>
    <font>
      <name val="ＭＳ Ｐゴシック"/>
      <sz val="7"/>
    </font>
  </fonts>
  <fills count="11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808080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FFFFF"/>
      </patternFill>
    </fill>
    <fill>
      <patternFill patternType="solid">
        <fgColor rgb="00FBE5D6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4" fontId="5" fillId="8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11" customWidth="1" min="20" max="20"/>
    <col width="46" customWidth="1" min="21" max="21"/>
  </cols>
  <sheetData>
    <row r="1">
      <c r="A1" s="1" t="inlineStr">
        <is>
          <t>犬山市　自動式心マッサージ器（LUCAS3）　予備バッテリ購入数の比較</t>
        </is>
      </c>
    </row>
    <row r="2">
      <c r="A2" s="2" t="inlineStr">
        <is>
          <t>元資料「保守点検及び本体、バッテリ更新計画（2026.5修正）」の R9「予備3個購入」を見直したもの。R7の救急犬山1の車両更新（ルーカス購入なし・救急犬山4の本体を載せ替え）と、救急犬山2の旧本体の載せ替え先が救急犬山4であることを反映。機器更新・保守点検の年度は元資料のまま変更していない。</t>
        </is>
      </c>
    </row>
    <row r="3">
      <c r="C3" s="3" t="inlineStr">
        <is>
          <t>実績（購入なし）</t>
        </is>
      </c>
      <c r="I3" s="4" t="inlineStr">
        <is>
          <t>計画期間</t>
        </is>
      </c>
    </row>
    <row r="4" ht="22" customHeight="1">
      <c r="A4" s="5" t="inlineStr">
        <is>
          <t>区分</t>
        </is>
      </c>
      <c r="C4" s="6" t="n">
        <v>3</v>
      </c>
      <c r="D4" s="6" t="n">
        <v>4</v>
      </c>
      <c r="E4" s="6" t="n">
        <v>5</v>
      </c>
      <c r="F4" s="6" t="n">
        <v>6</v>
      </c>
      <c r="G4" s="6" t="n">
        <v>7</v>
      </c>
      <c r="H4" s="6" t="n">
        <v>8</v>
      </c>
      <c r="I4" s="7" t="n">
        <v>9</v>
      </c>
      <c r="J4" s="7" t="n">
        <v>10</v>
      </c>
      <c r="K4" s="7" t="n">
        <v>11</v>
      </c>
      <c r="L4" s="7" t="n">
        <v>12</v>
      </c>
      <c r="M4" s="7" t="n">
        <v>13</v>
      </c>
      <c r="N4" s="7" t="n">
        <v>14</v>
      </c>
      <c r="O4" s="7" t="n">
        <v>15</v>
      </c>
      <c r="P4" s="7" t="n">
        <v>16</v>
      </c>
      <c r="Q4" s="7" t="n">
        <v>17</v>
      </c>
      <c r="R4" s="7" t="n">
        <v>18</v>
      </c>
      <c r="S4" s="7" t="n">
        <v>19</v>
      </c>
      <c r="T4" s="8" t="inlineStr">
        <is>
          <t>R9〜R19
合計</t>
        </is>
      </c>
      <c r="U4" s="5" t="inlineStr">
        <is>
          <t>考え方</t>
        </is>
      </c>
    </row>
    <row r="5">
      <c r="A5" s="9" t="inlineStr">
        <is>
          <t>元計画（2026.5修正）</t>
        </is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1" t="n">
        <v>3</v>
      </c>
      <c r="J5" s="12" t="n">
        <v>0</v>
      </c>
      <c r="K5" s="12" t="n">
        <v>0</v>
      </c>
      <c r="L5" s="11" t="n">
        <v>3</v>
      </c>
      <c r="M5" s="12" t="n">
        <v>0</v>
      </c>
      <c r="N5" s="12" t="n">
        <v>0</v>
      </c>
      <c r="O5" s="11" t="n">
        <v>3</v>
      </c>
      <c r="P5" s="12" t="n">
        <v>0</v>
      </c>
      <c r="Q5" s="12" t="n">
        <v>0</v>
      </c>
      <c r="R5" s="11" t="n">
        <v>3</v>
      </c>
      <c r="S5" s="12" t="n">
        <v>0</v>
      </c>
      <c r="T5" s="13">
        <f>SUM(I5:S5)</f>
        <v/>
      </c>
      <c r="U5" s="14" t="inlineStr">
        <is>
          <t>3年ごとに一律3個を計上</t>
        </is>
      </c>
    </row>
    <row r="6">
      <c r="A6" s="9" t="inlineStr">
        <is>
          <t>3年維持版（車両間入替あり）</t>
        </is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2" t="n">
        <v>0</v>
      </c>
      <c r="J6" s="11" t="n">
        <v>1</v>
      </c>
      <c r="K6" s="11" t="n">
        <v>1</v>
      </c>
      <c r="L6" s="12" t="n">
        <v>0</v>
      </c>
      <c r="M6" s="12" t="n">
        <v>0</v>
      </c>
      <c r="N6" s="12" t="n">
        <v>0</v>
      </c>
      <c r="O6" s="11" t="n">
        <v>1</v>
      </c>
      <c r="P6" s="12" t="n">
        <v>0</v>
      </c>
      <c r="Q6" s="11" t="n">
        <v>1</v>
      </c>
      <c r="R6" s="11" t="n">
        <v>1</v>
      </c>
      <c r="S6" s="11" t="n">
        <v>1</v>
      </c>
      <c r="T6" s="13">
        <f>SUM(I6:S6)</f>
        <v/>
      </c>
      <c r="U6" s="14" t="inlineStr">
        <is>
          <t>推奨案。常に「導入年度＋2年度以内」の電池を1個以上確保</t>
        </is>
      </c>
    </row>
    <row r="7">
      <c r="A7" s="9" t="inlineStr">
        <is>
          <t>4年維持版（車両間入替あり）</t>
        </is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2" t="n">
        <v>0</v>
      </c>
      <c r="J7" s="12" t="n">
        <v>0</v>
      </c>
      <c r="K7" s="11" t="n">
        <v>1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1" t="n">
        <v>2</v>
      </c>
      <c r="S7" s="12" t="n">
        <v>0</v>
      </c>
      <c r="T7" s="13">
        <f>SUM(I7:S7)</f>
        <v/>
      </c>
      <c r="U7" s="14" t="inlineStr">
        <is>
          <t>推奨案。常に「導入年度＋3年度以内」の電池を1個以上確保</t>
        </is>
      </c>
    </row>
    <row r="8">
      <c r="A8" s="15" t="inlineStr">
        <is>
          <t>参考：3年維持版（入替なし）</t>
        </is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2" t="n">
        <v>1</v>
      </c>
      <c r="J8" s="12" t="n">
        <v>1</v>
      </c>
      <c r="K8" s="12" t="n">
        <v>1</v>
      </c>
      <c r="L8" s="12" t="n">
        <v>2</v>
      </c>
      <c r="M8" s="12" t="n">
        <v>1</v>
      </c>
      <c r="N8" s="12" t="n">
        <v>0</v>
      </c>
      <c r="O8" s="12" t="n">
        <v>2</v>
      </c>
      <c r="P8" s="12" t="n">
        <v>1</v>
      </c>
      <c r="Q8" s="12" t="n">
        <v>0</v>
      </c>
      <c r="R8" s="12" t="n">
        <v>1</v>
      </c>
      <c r="S8" s="12" t="n">
        <v>2</v>
      </c>
      <c r="T8" s="13">
        <f>SUM(I8:S8)</f>
        <v/>
      </c>
      <c r="U8" s="14" t="inlineStr">
        <is>
          <t>各車に積みっぱなしで運用した場合</t>
        </is>
      </c>
    </row>
    <row r="9">
      <c r="A9" s="15" t="inlineStr">
        <is>
          <t>参考：4年維持版（入替なし）</t>
        </is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2" t="n">
        <v>0</v>
      </c>
      <c r="J9" s="12" t="n">
        <v>1</v>
      </c>
      <c r="K9" s="12" t="n">
        <v>1</v>
      </c>
      <c r="L9" s="12" t="n">
        <v>0</v>
      </c>
      <c r="M9" s="12" t="n">
        <v>0</v>
      </c>
      <c r="N9" s="12" t="n">
        <v>1</v>
      </c>
      <c r="O9" s="12" t="n">
        <v>0</v>
      </c>
      <c r="P9" s="12" t="n">
        <v>0</v>
      </c>
      <c r="Q9" s="12" t="n">
        <v>1</v>
      </c>
      <c r="R9" s="12" t="n">
        <v>1</v>
      </c>
      <c r="S9" s="12" t="n">
        <v>0</v>
      </c>
      <c r="T9" s="13">
        <f>SUM(I9:S9)</f>
        <v/>
      </c>
      <c r="U9" s="14" t="inlineStr">
        <is>
          <t>各車に積みっぱなしで運用した場合</t>
        </is>
      </c>
    </row>
    <row r="10">
      <c r="A10" s="16" t="inlineStr">
        <is>
          <t>元計画との差引（3年維持版）</t>
        </is>
      </c>
      <c r="C10" s="17">
        <f>C6-C5</f>
        <v/>
      </c>
      <c r="D10" s="17">
        <f>D6-D5</f>
        <v/>
      </c>
      <c r="E10" s="17">
        <f>E6-E5</f>
        <v/>
      </c>
      <c r="F10" s="17">
        <f>F6-F5</f>
        <v/>
      </c>
      <c r="G10" s="17">
        <f>G6-G5</f>
        <v/>
      </c>
      <c r="H10" s="17">
        <f>H6-H5</f>
        <v/>
      </c>
      <c r="I10" s="17">
        <f>I6-I5</f>
        <v/>
      </c>
      <c r="J10" s="17">
        <f>J6-J5</f>
        <v/>
      </c>
      <c r="K10" s="17">
        <f>K6-K5</f>
        <v/>
      </c>
      <c r="L10" s="17">
        <f>L6-L5</f>
        <v/>
      </c>
      <c r="M10" s="17">
        <f>M6-M5</f>
        <v/>
      </c>
      <c r="N10" s="17">
        <f>N6-N5</f>
        <v/>
      </c>
      <c r="O10" s="17">
        <f>O6-O5</f>
        <v/>
      </c>
      <c r="P10" s="17">
        <f>P6-P5</f>
        <v/>
      </c>
      <c r="Q10" s="17">
        <f>Q6-Q5</f>
        <v/>
      </c>
      <c r="R10" s="17">
        <f>R6-R5</f>
        <v/>
      </c>
      <c r="S10" s="17">
        <f>S6-S5</f>
        <v/>
      </c>
      <c r="T10" s="18">
        <f>T6-T5</f>
        <v/>
      </c>
      <c r="U10" s="19" t="inlineStr">
        <is>
          <t>マイナスが削減個数</t>
        </is>
      </c>
    </row>
    <row r="11">
      <c r="A11" s="16" t="inlineStr">
        <is>
          <t>元計画との差引（4年維持版）</t>
        </is>
      </c>
      <c r="C11" s="17">
        <f>C7-C5</f>
        <v/>
      </c>
      <c r="D11" s="17">
        <f>D7-D5</f>
        <v/>
      </c>
      <c r="E11" s="17">
        <f>E7-E5</f>
        <v/>
      </c>
      <c r="F11" s="17">
        <f>F7-F5</f>
        <v/>
      </c>
      <c r="G11" s="17">
        <f>G7-G5</f>
        <v/>
      </c>
      <c r="H11" s="17">
        <f>H7-H5</f>
        <v/>
      </c>
      <c r="I11" s="17">
        <f>I7-I5</f>
        <v/>
      </c>
      <c r="J11" s="17">
        <f>J7-J5</f>
        <v/>
      </c>
      <c r="K11" s="17">
        <f>K7-K5</f>
        <v/>
      </c>
      <c r="L11" s="17">
        <f>L7-L5</f>
        <v/>
      </c>
      <c r="M11" s="17">
        <f>M7-M5</f>
        <v/>
      </c>
      <c r="N11" s="17">
        <f>N7-N5</f>
        <v/>
      </c>
      <c r="O11" s="17">
        <f>O7-O5</f>
        <v/>
      </c>
      <c r="P11" s="17">
        <f>P7-P5</f>
        <v/>
      </c>
      <c r="Q11" s="17">
        <f>Q7-Q5</f>
        <v/>
      </c>
      <c r="R11" s="17">
        <f>R7-R5</f>
        <v/>
      </c>
      <c r="S11" s="17">
        <f>S7-S5</f>
        <v/>
      </c>
      <c r="T11" s="18">
        <f>T7-T5</f>
        <v/>
      </c>
      <c r="U11" s="19" t="inlineStr">
        <is>
          <t>マイナスが削減個数</t>
        </is>
      </c>
    </row>
    <row r="13">
      <c r="A13" s="9" t="inlineStr">
        <is>
          <t>バッテリ単価（税込・円）</t>
        </is>
      </c>
      <c r="B13" s="20" t="n">
        <v>0</v>
      </c>
      <c r="C13" s="2" t="inlineStr">
        <is>
          <t>← 単価を入力すると下の事業費が自動計算されます</t>
        </is>
      </c>
    </row>
    <row r="14">
      <c r="A14" s="21" t="inlineStr">
        <is>
          <t>事業費　元計画（2026.5修正）</t>
        </is>
      </c>
      <c r="C14" s="22">
        <f>C5*$B$13</f>
        <v/>
      </c>
      <c r="D14" s="22">
        <f>D5*$B$13</f>
        <v/>
      </c>
      <c r="E14" s="22">
        <f>E5*$B$13</f>
        <v/>
      </c>
      <c r="F14" s="22">
        <f>F5*$B$13</f>
        <v/>
      </c>
      <c r="G14" s="22">
        <f>G5*$B$13</f>
        <v/>
      </c>
      <c r="H14" s="22">
        <f>H5*$B$13</f>
        <v/>
      </c>
      <c r="I14" s="22">
        <f>I5*$B$13</f>
        <v/>
      </c>
      <c r="J14" s="22">
        <f>J5*$B$13</f>
        <v/>
      </c>
      <c r="K14" s="22">
        <f>K5*$B$13</f>
        <v/>
      </c>
      <c r="L14" s="22">
        <f>L5*$B$13</f>
        <v/>
      </c>
      <c r="M14" s="22">
        <f>M5*$B$13</f>
        <v/>
      </c>
      <c r="N14" s="22">
        <f>N5*$B$13</f>
        <v/>
      </c>
      <c r="O14" s="22">
        <f>O5*$B$13</f>
        <v/>
      </c>
      <c r="P14" s="22">
        <f>P5*$B$13</f>
        <v/>
      </c>
      <c r="Q14" s="22">
        <f>Q5*$B$13</f>
        <v/>
      </c>
      <c r="R14" s="22">
        <f>R5*$B$13</f>
        <v/>
      </c>
      <c r="S14" s="22">
        <f>S5*$B$13</f>
        <v/>
      </c>
      <c r="T14" s="23">
        <f>T5*$B$13</f>
        <v/>
      </c>
    </row>
    <row r="15">
      <c r="A15" s="21" t="inlineStr">
        <is>
          <t>事業費　3年維持版（車両間入替あり）</t>
        </is>
      </c>
      <c r="C15" s="22">
        <f>C6*$B$13</f>
        <v/>
      </c>
      <c r="D15" s="22">
        <f>D6*$B$13</f>
        <v/>
      </c>
      <c r="E15" s="22">
        <f>E6*$B$13</f>
        <v/>
      </c>
      <c r="F15" s="22">
        <f>F6*$B$13</f>
        <v/>
      </c>
      <c r="G15" s="22">
        <f>G6*$B$13</f>
        <v/>
      </c>
      <c r="H15" s="22">
        <f>H6*$B$13</f>
        <v/>
      </c>
      <c r="I15" s="22">
        <f>I6*$B$13</f>
        <v/>
      </c>
      <c r="J15" s="22">
        <f>J6*$B$13</f>
        <v/>
      </c>
      <c r="K15" s="22">
        <f>K6*$B$13</f>
        <v/>
      </c>
      <c r="L15" s="22">
        <f>L6*$B$13</f>
        <v/>
      </c>
      <c r="M15" s="22">
        <f>M6*$B$13</f>
        <v/>
      </c>
      <c r="N15" s="22">
        <f>N6*$B$13</f>
        <v/>
      </c>
      <c r="O15" s="22">
        <f>O6*$B$13</f>
        <v/>
      </c>
      <c r="P15" s="22">
        <f>P6*$B$13</f>
        <v/>
      </c>
      <c r="Q15" s="22">
        <f>Q6*$B$13</f>
        <v/>
      </c>
      <c r="R15" s="22">
        <f>R6*$B$13</f>
        <v/>
      </c>
      <c r="S15" s="22">
        <f>S6*$B$13</f>
        <v/>
      </c>
      <c r="T15" s="23">
        <f>T6*$B$13</f>
        <v/>
      </c>
    </row>
    <row r="16">
      <c r="A16" s="21" t="inlineStr">
        <is>
          <t>事業費　4年維持版（車両間入替あり）</t>
        </is>
      </c>
      <c r="C16" s="22">
        <f>C7*$B$13</f>
        <v/>
      </c>
      <c r="D16" s="22">
        <f>D7*$B$13</f>
        <v/>
      </c>
      <c r="E16" s="22">
        <f>E7*$B$13</f>
        <v/>
      </c>
      <c r="F16" s="22">
        <f>F7*$B$13</f>
        <v/>
      </c>
      <c r="G16" s="22">
        <f>G7*$B$13</f>
        <v/>
      </c>
      <c r="H16" s="22">
        <f>H7*$B$13</f>
        <v/>
      </c>
      <c r="I16" s="22">
        <f>I7*$B$13</f>
        <v/>
      </c>
      <c r="J16" s="22">
        <f>J7*$B$13</f>
        <v/>
      </c>
      <c r="K16" s="22">
        <f>K7*$B$13</f>
        <v/>
      </c>
      <c r="L16" s="22">
        <f>L7*$B$13</f>
        <v/>
      </c>
      <c r="M16" s="22">
        <f>M7*$B$13</f>
        <v/>
      </c>
      <c r="N16" s="22">
        <f>N7*$B$13</f>
        <v/>
      </c>
      <c r="O16" s="22">
        <f>O7*$B$13</f>
        <v/>
      </c>
      <c r="P16" s="22">
        <f>P7*$B$13</f>
        <v/>
      </c>
      <c r="Q16" s="22">
        <f>Q7*$B$13</f>
        <v/>
      </c>
      <c r="R16" s="22">
        <f>R7*$B$13</f>
        <v/>
      </c>
      <c r="S16" s="22">
        <f>S7*$B$13</f>
        <v/>
      </c>
      <c r="T16" s="23">
        <f>T7*$B$13</f>
        <v/>
      </c>
    </row>
    <row r="18">
      <c r="A18" s="24" t="inlineStr">
        <is>
          <t>【結論】</t>
        </is>
      </c>
    </row>
    <row r="19">
      <c r="A19" s="25" t="inlineStr">
        <is>
          <t>・R9（令和9年度）の予備バッテリ購入は、3年維持版・4年維持版のいずれも 0個。救急犬山2の機器更新（車両更新）で新品バッテリ2個が付属し、旧救急犬山2本体（バッテリ2個付き）が救急犬山4へ回るため。</t>
        </is>
      </c>
    </row>
    <row r="20">
      <c r="A20" s="25" t="inlineStr">
        <is>
          <t>・R9〜R19の購入数合計は、元計画12個 → 3年維持版6個／4年維持版3個。</t>
        </is>
      </c>
    </row>
    <row r="21">
      <c r="A21" s="25" t="inlineStr">
        <is>
          <t>・上記個数は、機器更新や保守点検で入った新品・使用年数の浅い電池を車両間で入れ替えることが条件。入れ替えを行わない場合は 3年維持版12個／4年維持版5個（参考行）。</t>
        </is>
      </c>
    </row>
    <row r="22">
      <c r="A22" s="25" t="inlineStr">
        <is>
          <t>・機器更新・保守点検の年度は元資料から一切変更していない。変更点は、本体の載せ替え先（R7＝救4→救1、R9＝旧救2→救4）と、予備バッテリの購入年度・個数のみ。</t>
        </is>
      </c>
    </row>
  </sheetData>
  <mergeCells count="7">
    <mergeCell ref="I3:S3"/>
    <mergeCell ref="A22:T22"/>
    <mergeCell ref="A18:T18"/>
    <mergeCell ref="A21:T21"/>
    <mergeCell ref="A20:T20"/>
    <mergeCell ref="C3:H3"/>
    <mergeCell ref="A19:T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0" customWidth="1" min="20" max="20"/>
  </cols>
  <sheetData>
    <row r="1">
      <c r="A1" s="1" t="inlineStr">
        <is>
          <t>犬山市　自動式心マッサージ器（LUCAS3）　バッテリ更新計画　【3年維持版】</t>
        </is>
      </c>
    </row>
    <row r="2">
      <c r="A2" s="2" t="inlineStr">
        <is>
          <t>元資料「保守点検及び本体、バッテリ更新計画（2026.5修正）」をベースに、①R7の救急犬山1の車両更新（ルーカスは購入せず救急犬山4の本体を載せ替え）、②救急犬山2の旧本体の載せ替え先は救急犬山4、の2点を反映し、R9以降の予備バッテリ購入数を精査したもの。機器更新・保守点検の年度は元資料から変更していない。</t>
        </is>
      </c>
    </row>
    <row r="3">
      <c r="A3" s="26" t="inlineStr">
        <is>
          <t>判定基準（年）</t>
        </is>
      </c>
      <c r="B3" s="13" t="n">
        <v>3</v>
      </c>
      <c r="C3" s="2" t="inlineStr">
        <is>
          <t>…各車とも「導入年度＋2年度以内」に導入したバッテリを1個以上搭載していればOK</t>
        </is>
      </c>
    </row>
    <row r="5" ht="20" customHeight="1">
      <c r="A5" s="5" t="inlineStr">
        <is>
          <t>車両</t>
        </is>
      </c>
      <c r="B5" s="5" t="inlineStr">
        <is>
          <t>項目</t>
        </is>
      </c>
      <c r="C5" s="7" t="n">
        <v>3</v>
      </c>
      <c r="D5" s="7" t="n">
        <v>4</v>
      </c>
      <c r="E5" s="7" t="n">
        <v>5</v>
      </c>
      <c r="F5" s="7" t="n">
        <v>6</v>
      </c>
      <c r="G5" s="7" t="n">
        <v>7</v>
      </c>
      <c r="H5" s="7" t="n">
        <v>8</v>
      </c>
      <c r="I5" s="7" t="n">
        <v>9</v>
      </c>
      <c r="J5" s="7" t="n">
        <v>10</v>
      </c>
      <c r="K5" s="7" t="n">
        <v>11</v>
      </c>
      <c r="L5" s="7" t="n">
        <v>12</v>
      </c>
      <c r="M5" s="7" t="n">
        <v>13</v>
      </c>
      <c r="N5" s="7" t="n">
        <v>14</v>
      </c>
      <c r="O5" s="7" t="n">
        <v>15</v>
      </c>
      <c r="P5" s="7" t="n">
        <v>16</v>
      </c>
      <c r="Q5" s="7" t="n">
        <v>17</v>
      </c>
      <c r="R5" s="7" t="n">
        <v>18</v>
      </c>
      <c r="S5" s="7" t="n">
        <v>19</v>
      </c>
      <c r="T5" s="8" t="inlineStr">
        <is>
          <t>R9〜R19
合計</t>
        </is>
      </c>
    </row>
    <row r="6">
      <c r="A6" s="27" t="inlineStr">
        <is>
          <t>区分</t>
        </is>
      </c>
      <c r="B6" s="28" t="inlineStr"/>
      <c r="C6" s="3" t="inlineStr">
        <is>
          <t>実績</t>
        </is>
      </c>
      <c r="D6" s="3" t="inlineStr">
        <is>
          <t>実績</t>
        </is>
      </c>
      <c r="E6" s="3" t="inlineStr">
        <is>
          <t>実績</t>
        </is>
      </c>
      <c r="F6" s="3" t="inlineStr">
        <is>
          <t>実績</t>
        </is>
      </c>
      <c r="G6" s="3" t="inlineStr">
        <is>
          <t>実績</t>
        </is>
      </c>
      <c r="H6" s="3" t="inlineStr">
        <is>
          <t>実績</t>
        </is>
      </c>
      <c r="I6" s="4" t="inlineStr">
        <is>
          <t>計画</t>
        </is>
      </c>
      <c r="J6" s="4" t="inlineStr">
        <is>
          <t>計画</t>
        </is>
      </c>
      <c r="K6" s="4" t="inlineStr">
        <is>
          <t>計画</t>
        </is>
      </c>
      <c r="L6" s="4" t="inlineStr">
        <is>
          <t>計画</t>
        </is>
      </c>
      <c r="M6" s="4" t="inlineStr">
        <is>
          <t>計画</t>
        </is>
      </c>
      <c r="N6" s="4" t="inlineStr">
        <is>
          <t>計画</t>
        </is>
      </c>
      <c r="O6" s="4" t="inlineStr">
        <is>
          <t>計画</t>
        </is>
      </c>
      <c r="P6" s="4" t="inlineStr">
        <is>
          <t>計画</t>
        </is>
      </c>
      <c r="Q6" s="4" t="inlineStr">
        <is>
          <t>計画</t>
        </is>
      </c>
      <c r="R6" s="4" t="inlineStr">
        <is>
          <t>計画</t>
        </is>
      </c>
      <c r="S6" s="4" t="inlineStr">
        <is>
          <t>計画</t>
        </is>
      </c>
      <c r="T6" s="28" t="inlineStr"/>
    </row>
    <row r="7" ht="52" customHeight="1">
      <c r="A7" s="29" t="inlineStr">
        <is>
          <t>救急犬山1
(LUCAS3)</t>
        </is>
      </c>
      <c r="B7" s="30" t="inlineStr">
        <is>
          <t>機器イベント・作業</t>
        </is>
      </c>
      <c r="C7" s="10" t="n"/>
      <c r="D7" s="10" t="n"/>
      <c r="E7" s="10" t="n"/>
      <c r="F7" s="10" t="n"/>
      <c r="G7" s="31" t="inlineStr">
        <is>
          <t>車両更新（ルーカス購入なし）
救4の本体を載せ替え（電池R3・R6も）</t>
        </is>
      </c>
      <c r="H7" s="10" t="n"/>
      <c r="I7" s="32" t="inlineStr">
        <is>
          <t>救2の新品1個を受領（R3降ろす）</t>
        </is>
      </c>
      <c r="J7" s="12" t="n"/>
      <c r="K7" s="12" t="n"/>
      <c r="L7" s="32" t="inlineStr">
        <is>
          <t>旧救3本体のR11を受領（R6降ろす）</t>
        </is>
      </c>
      <c r="M7" s="12" t="n"/>
      <c r="N7" s="32" t="inlineStr">
        <is>
          <t>旧救4本体のR13を受領（R9降ろす）</t>
        </is>
      </c>
      <c r="O7" s="12" t="n"/>
      <c r="P7" s="32" t="inlineStr">
        <is>
          <t>救3保守点検の新品を搭載（R11降ろす）</t>
        </is>
      </c>
      <c r="Q7" s="12" t="n"/>
      <c r="R7" s="12" t="n"/>
      <c r="S7" s="33" t="inlineStr">
        <is>
          <t>予備1個購入→搭載（R16降ろす）</t>
        </is>
      </c>
      <c r="T7" s="12" t="n"/>
    </row>
    <row r="8">
      <c r="A8" s="29" t="n"/>
      <c r="B8" s="34" t="inlineStr">
        <is>
          <t>搭載バッテリ（新）</t>
        </is>
      </c>
      <c r="C8" s="35" t="n"/>
      <c r="D8" s="35" t="n"/>
      <c r="E8" s="35" t="n"/>
      <c r="F8" s="35" t="n"/>
      <c r="G8" s="35" t="n">
        <v>6</v>
      </c>
      <c r="H8" s="35" t="n">
        <v>6</v>
      </c>
      <c r="I8" s="36" t="n">
        <v>9</v>
      </c>
      <c r="J8" s="36" t="n">
        <v>9</v>
      </c>
      <c r="K8" s="36" t="n">
        <v>9</v>
      </c>
      <c r="L8" s="36" t="n">
        <v>11</v>
      </c>
      <c r="M8" s="36" t="n">
        <v>11</v>
      </c>
      <c r="N8" s="36" t="n">
        <v>13</v>
      </c>
      <c r="O8" s="36" t="n">
        <v>13</v>
      </c>
      <c r="P8" s="36" t="n">
        <v>16</v>
      </c>
      <c r="Q8" s="36" t="n">
        <v>16</v>
      </c>
      <c r="R8" s="36" t="n">
        <v>16</v>
      </c>
      <c r="S8" s="36" t="n">
        <v>19</v>
      </c>
      <c r="T8" s="12" t="n"/>
    </row>
    <row r="9">
      <c r="A9" s="29" t="n"/>
      <c r="B9" s="34" t="inlineStr">
        <is>
          <t>搭載バッテリ（旧）</t>
        </is>
      </c>
      <c r="C9" s="37" t="n"/>
      <c r="D9" s="37" t="n"/>
      <c r="E9" s="37" t="n"/>
      <c r="F9" s="37" t="n"/>
      <c r="G9" s="37" t="n">
        <v>3</v>
      </c>
      <c r="H9" s="37" t="n">
        <v>3</v>
      </c>
      <c r="I9" s="38" t="n">
        <v>6</v>
      </c>
      <c r="J9" s="38" t="n">
        <v>6</v>
      </c>
      <c r="K9" s="38" t="n">
        <v>6</v>
      </c>
      <c r="L9" s="38" t="n">
        <v>9</v>
      </c>
      <c r="M9" s="38" t="n">
        <v>9</v>
      </c>
      <c r="N9" s="38" t="n">
        <v>11</v>
      </c>
      <c r="O9" s="38" t="n">
        <v>11</v>
      </c>
      <c r="P9" s="38" t="n">
        <v>13</v>
      </c>
      <c r="Q9" s="38" t="n">
        <v>13</v>
      </c>
      <c r="R9" s="38" t="n">
        <v>13</v>
      </c>
      <c r="S9" s="38" t="n">
        <v>16</v>
      </c>
      <c r="T9" s="12" t="n"/>
    </row>
    <row r="10">
      <c r="A10" s="29" t="n"/>
      <c r="B10" s="34" t="inlineStr">
        <is>
          <t>予備バッテリ購入数</t>
        </is>
      </c>
      <c r="C10" s="39" t="n">
        <v>0</v>
      </c>
      <c r="D10" s="39" t="n">
        <v>0</v>
      </c>
      <c r="E10" s="39" t="n">
        <v>0</v>
      </c>
      <c r="F10" s="39" t="n">
        <v>0</v>
      </c>
      <c r="G10" s="39" t="n">
        <v>0</v>
      </c>
      <c r="H10" s="39" t="n">
        <v>0</v>
      </c>
      <c r="I10" s="40" t="n">
        <v>0</v>
      </c>
      <c r="J10" s="40" t="n">
        <v>0</v>
      </c>
      <c r="K10" s="40" t="n">
        <v>0</v>
      </c>
      <c r="L10" s="40" t="n">
        <v>0</v>
      </c>
      <c r="M10" s="40" t="n">
        <v>0</v>
      </c>
      <c r="N10" s="40" t="n">
        <v>0</v>
      </c>
      <c r="O10" s="40" t="n">
        <v>0</v>
      </c>
      <c r="P10" s="40" t="n">
        <v>0</v>
      </c>
      <c r="Q10" s="40" t="n">
        <v>0</v>
      </c>
      <c r="R10" s="40" t="n">
        <v>0</v>
      </c>
      <c r="S10" s="41" t="n">
        <v>1</v>
      </c>
      <c r="T10" s="42">
        <f>SUM(I10:S10)</f>
        <v/>
      </c>
    </row>
    <row r="11" ht="52" customHeight="1">
      <c r="A11" s="29" t="inlineStr">
        <is>
          <t>救急犬山2
(LUCAS3)</t>
        </is>
      </c>
      <c r="B11" s="30" t="inlineStr">
        <is>
          <t>機器イベント・作業</t>
        </is>
      </c>
      <c r="C11" s="31" t="inlineStr">
        <is>
          <t>新規配備（電池2個付属）</t>
        </is>
      </c>
      <c r="D11" s="10" t="n"/>
      <c r="E11" s="10" t="n"/>
      <c r="F11" s="10" t="n"/>
      <c r="G11" s="43" t="inlineStr">
        <is>
          <t>保守点検（新品1個）</t>
        </is>
      </c>
      <c r="H11" s="10" t="n"/>
      <c r="I11" s="31" t="inlineStr">
        <is>
          <t>機器更新（車両更新・電池2個付属）
旧本体を救4へ／新品1個を救1のR3と交換</t>
        </is>
      </c>
      <c r="J11" s="12" t="n"/>
      <c r="K11" s="12" t="n"/>
      <c r="L11" s="32" t="inlineStr">
        <is>
          <t>救3更新の新品1個を受領（R3降ろす）</t>
        </is>
      </c>
      <c r="M11" s="43" t="inlineStr">
        <is>
          <t>保守点検（新品1個）→救4へ</t>
        </is>
      </c>
      <c r="N11" s="12" t="n"/>
      <c r="O11" s="32" t="inlineStr">
        <is>
          <t>救4の新品予備1個を受領
（救2のR9を救4へ）</t>
        </is>
      </c>
      <c r="P11" s="12" t="n"/>
      <c r="Q11" s="33" t="inlineStr">
        <is>
          <t>予備1個購入→搭載（R12降ろす）</t>
        </is>
      </c>
      <c r="R11" s="12" t="n"/>
      <c r="S11" s="12" t="n"/>
      <c r="T11" s="12" t="n"/>
    </row>
    <row r="12">
      <c r="A12" s="29" t="n"/>
      <c r="B12" s="34" t="inlineStr">
        <is>
          <t>搭載バッテリ（新）</t>
        </is>
      </c>
      <c r="C12" s="35" t="n">
        <v>3</v>
      </c>
      <c r="D12" s="35" t="n">
        <v>3</v>
      </c>
      <c r="E12" s="35" t="n">
        <v>3</v>
      </c>
      <c r="F12" s="35" t="n">
        <v>3</v>
      </c>
      <c r="G12" s="35" t="n">
        <v>7</v>
      </c>
      <c r="H12" s="35" t="n">
        <v>7</v>
      </c>
      <c r="I12" s="36" t="n">
        <v>9</v>
      </c>
      <c r="J12" s="36" t="n">
        <v>9</v>
      </c>
      <c r="K12" s="36" t="n">
        <v>9</v>
      </c>
      <c r="L12" s="36" t="n">
        <v>12</v>
      </c>
      <c r="M12" s="36" t="n">
        <v>12</v>
      </c>
      <c r="N12" s="36" t="n">
        <v>12</v>
      </c>
      <c r="O12" s="36" t="n">
        <v>14</v>
      </c>
      <c r="P12" s="36" t="n">
        <v>14</v>
      </c>
      <c r="Q12" s="36" t="n">
        <v>17</v>
      </c>
      <c r="R12" s="36" t="n">
        <v>17</v>
      </c>
      <c r="S12" s="36" t="n">
        <v>17</v>
      </c>
      <c r="T12" s="12" t="n"/>
    </row>
    <row r="13">
      <c r="A13" s="29" t="n"/>
      <c r="B13" s="34" t="inlineStr">
        <is>
          <t>搭載バッテリ（旧）</t>
        </is>
      </c>
      <c r="C13" s="37" t="n">
        <v>3</v>
      </c>
      <c r="D13" s="37" t="n">
        <v>3</v>
      </c>
      <c r="E13" s="37" t="n">
        <v>3</v>
      </c>
      <c r="F13" s="37" t="n">
        <v>3</v>
      </c>
      <c r="G13" s="37" t="n">
        <v>3</v>
      </c>
      <c r="H13" s="37" t="n">
        <v>3</v>
      </c>
      <c r="I13" s="38" t="n">
        <v>3</v>
      </c>
      <c r="J13" s="38" t="n">
        <v>3</v>
      </c>
      <c r="K13" s="38" t="n">
        <v>3</v>
      </c>
      <c r="L13" s="38" t="n">
        <v>9</v>
      </c>
      <c r="M13" s="38" t="n">
        <v>9</v>
      </c>
      <c r="N13" s="38" t="n">
        <v>9</v>
      </c>
      <c r="O13" s="38" t="n">
        <v>12</v>
      </c>
      <c r="P13" s="38" t="n">
        <v>12</v>
      </c>
      <c r="Q13" s="38" t="n">
        <v>14</v>
      </c>
      <c r="R13" s="38" t="n">
        <v>14</v>
      </c>
      <c r="S13" s="38" t="n">
        <v>14</v>
      </c>
      <c r="T13" s="12" t="n"/>
    </row>
    <row r="14">
      <c r="A14" s="29" t="n"/>
      <c r="B14" s="34" t="inlineStr">
        <is>
          <t>予備バッテリ購入数</t>
        </is>
      </c>
      <c r="C14" s="39" t="n">
        <v>0</v>
      </c>
      <c r="D14" s="39" t="n">
        <v>0</v>
      </c>
      <c r="E14" s="39" t="n">
        <v>0</v>
      </c>
      <c r="F14" s="39" t="n">
        <v>0</v>
      </c>
      <c r="G14" s="39" t="n">
        <v>0</v>
      </c>
      <c r="H14" s="39" t="n">
        <v>0</v>
      </c>
      <c r="I14" s="40" t="n">
        <v>0</v>
      </c>
      <c r="J14" s="40" t="n">
        <v>0</v>
      </c>
      <c r="K14" s="40" t="n">
        <v>0</v>
      </c>
      <c r="L14" s="40" t="n">
        <v>0</v>
      </c>
      <c r="M14" s="40" t="n">
        <v>0</v>
      </c>
      <c r="N14" s="40" t="n">
        <v>0</v>
      </c>
      <c r="O14" s="40" t="n">
        <v>0</v>
      </c>
      <c r="P14" s="40" t="n">
        <v>0</v>
      </c>
      <c r="Q14" s="41" t="n">
        <v>1</v>
      </c>
      <c r="R14" s="40" t="n">
        <v>0</v>
      </c>
      <c r="S14" s="40" t="n">
        <v>0</v>
      </c>
      <c r="T14" s="42">
        <f>SUM(I14:S14)</f>
        <v/>
      </c>
    </row>
    <row r="15" ht="52" customHeight="1">
      <c r="A15" s="29" t="inlineStr">
        <is>
          <t>救急犬山3
(LUCAS3)</t>
        </is>
      </c>
      <c r="B15" s="30" t="inlineStr">
        <is>
          <t>機器イベント・作業</t>
        </is>
      </c>
      <c r="C15" s="31" t="inlineStr">
        <is>
          <t>新規配備（電池2個付属）</t>
        </is>
      </c>
      <c r="D15" s="10" t="n"/>
      <c r="E15" s="10" t="n"/>
      <c r="F15" s="10" t="n"/>
      <c r="G15" s="10" t="n"/>
      <c r="H15" s="43" t="inlineStr">
        <is>
          <t>保守点検（新品1個）</t>
        </is>
      </c>
      <c r="I15" s="12" t="n"/>
      <c r="J15" s="12" t="n"/>
      <c r="K15" s="33" t="inlineStr">
        <is>
          <t>予備1個購入→搭載（R3降ろす）</t>
        </is>
      </c>
      <c r="L15" s="31" t="inlineStr">
        <is>
          <t>機器更新（車両更新・電池2個付属）
新品1個を救2へ／旧本体R11を救1へ</t>
        </is>
      </c>
      <c r="M15" s="12" t="n"/>
      <c r="N15" s="12" t="n"/>
      <c r="O15" s="33" t="inlineStr">
        <is>
          <t>予備1個購入→搭載（R8降ろす）</t>
        </is>
      </c>
      <c r="P15" s="43" t="inlineStr">
        <is>
          <t>保守点検（新品1個）→救1へ</t>
        </is>
      </c>
      <c r="Q15" s="12" t="n"/>
      <c r="R15" s="33" t="inlineStr">
        <is>
          <t>予備1個購入→搭載（R12降ろす）</t>
        </is>
      </c>
      <c r="S15" s="12" t="n"/>
      <c r="T15" s="12" t="n"/>
    </row>
    <row r="16">
      <c r="A16" s="29" t="n"/>
      <c r="B16" s="34" t="inlineStr">
        <is>
          <t>搭載バッテリ（新）</t>
        </is>
      </c>
      <c r="C16" s="35" t="n">
        <v>3</v>
      </c>
      <c r="D16" s="35" t="n">
        <v>3</v>
      </c>
      <c r="E16" s="35" t="n">
        <v>3</v>
      </c>
      <c r="F16" s="35" t="n">
        <v>3</v>
      </c>
      <c r="G16" s="35" t="n">
        <v>3</v>
      </c>
      <c r="H16" s="35" t="n">
        <v>8</v>
      </c>
      <c r="I16" s="36" t="n">
        <v>8</v>
      </c>
      <c r="J16" s="36" t="n">
        <v>8</v>
      </c>
      <c r="K16" s="36" t="n">
        <v>11</v>
      </c>
      <c r="L16" s="36" t="n">
        <v>12</v>
      </c>
      <c r="M16" s="36" t="n">
        <v>12</v>
      </c>
      <c r="N16" s="36" t="n">
        <v>12</v>
      </c>
      <c r="O16" s="36" t="n">
        <v>15</v>
      </c>
      <c r="P16" s="36" t="n">
        <v>15</v>
      </c>
      <c r="Q16" s="36" t="n">
        <v>15</v>
      </c>
      <c r="R16" s="36" t="n">
        <v>18</v>
      </c>
      <c r="S16" s="36" t="n">
        <v>18</v>
      </c>
      <c r="T16" s="12" t="n"/>
    </row>
    <row r="17">
      <c r="A17" s="29" t="n"/>
      <c r="B17" s="34" t="inlineStr">
        <is>
          <t>搭載バッテリ（旧）</t>
        </is>
      </c>
      <c r="C17" s="37" t="n">
        <v>3</v>
      </c>
      <c r="D17" s="37" t="n">
        <v>3</v>
      </c>
      <c r="E17" s="37" t="n">
        <v>3</v>
      </c>
      <c r="F17" s="37" t="n">
        <v>3</v>
      </c>
      <c r="G17" s="37" t="n">
        <v>3</v>
      </c>
      <c r="H17" s="37" t="n">
        <v>3</v>
      </c>
      <c r="I17" s="38" t="n">
        <v>3</v>
      </c>
      <c r="J17" s="38" t="n">
        <v>3</v>
      </c>
      <c r="K17" s="38" t="n">
        <v>8</v>
      </c>
      <c r="L17" s="38" t="n">
        <v>8</v>
      </c>
      <c r="M17" s="38" t="n">
        <v>8</v>
      </c>
      <c r="N17" s="38" t="n">
        <v>8</v>
      </c>
      <c r="O17" s="38" t="n">
        <v>12</v>
      </c>
      <c r="P17" s="38" t="n">
        <v>12</v>
      </c>
      <c r="Q17" s="38" t="n">
        <v>12</v>
      </c>
      <c r="R17" s="38" t="n">
        <v>15</v>
      </c>
      <c r="S17" s="38" t="n">
        <v>15</v>
      </c>
      <c r="T17" s="12" t="n"/>
    </row>
    <row r="18">
      <c r="A18" s="29" t="n"/>
      <c r="B18" s="34" t="inlineStr">
        <is>
          <t>予備バッテリ購入数</t>
        </is>
      </c>
      <c r="C18" s="39" t="n">
        <v>0</v>
      </c>
      <c r="D18" s="39" t="n">
        <v>0</v>
      </c>
      <c r="E18" s="39" t="n">
        <v>0</v>
      </c>
      <c r="F18" s="39" t="n">
        <v>0</v>
      </c>
      <c r="G18" s="39" t="n">
        <v>0</v>
      </c>
      <c r="H18" s="39" t="n">
        <v>0</v>
      </c>
      <c r="I18" s="40" t="n">
        <v>0</v>
      </c>
      <c r="J18" s="40" t="n">
        <v>0</v>
      </c>
      <c r="K18" s="41" t="n">
        <v>1</v>
      </c>
      <c r="L18" s="40" t="n">
        <v>0</v>
      </c>
      <c r="M18" s="40" t="n">
        <v>0</v>
      </c>
      <c r="N18" s="40" t="n">
        <v>0</v>
      </c>
      <c r="O18" s="41" t="n">
        <v>1</v>
      </c>
      <c r="P18" s="40" t="n">
        <v>0</v>
      </c>
      <c r="Q18" s="40" t="n">
        <v>0</v>
      </c>
      <c r="R18" s="41" t="n">
        <v>1</v>
      </c>
      <c r="S18" s="40" t="n">
        <v>0</v>
      </c>
      <c r="T18" s="42">
        <f>SUM(I18:S18)</f>
        <v/>
      </c>
    </row>
    <row r="19" ht="52" customHeight="1">
      <c r="A19" s="29" t="inlineStr">
        <is>
          <t>救急犬山4
(LUCAS3)</t>
        </is>
      </c>
      <c r="B19" s="30" t="inlineStr">
        <is>
          <t>機器イベント・作業</t>
        </is>
      </c>
      <c r="C19" s="31" t="inlineStr">
        <is>
          <t>新規配備（電池2個付属）</t>
        </is>
      </c>
      <c r="D19" s="10" t="n"/>
      <c r="E19" s="10" t="n"/>
      <c r="F19" s="43" t="inlineStr">
        <is>
          <t>保守点検（新品1個）</t>
        </is>
      </c>
      <c r="G19" s="32" t="inlineStr">
        <is>
          <t>本体を救1へ載せ替え
以降R8まで積載なし</t>
        </is>
      </c>
      <c r="H19" s="10" t="n"/>
      <c r="I19" s="31" t="inlineStr">
        <is>
          <t>旧救2本体を受領（電池R3・R7付き）</t>
        </is>
      </c>
      <c r="J19" s="33" t="inlineStr">
        <is>
          <t>予備1個購入→搭載（R3降ろす）</t>
        </is>
      </c>
      <c r="K19" s="12" t="n"/>
      <c r="L19" s="12" t="n"/>
      <c r="M19" s="32" t="inlineStr">
        <is>
          <t>救2保守点検の新品を搭載（R7降ろす）</t>
        </is>
      </c>
      <c r="N19" s="31" t="inlineStr">
        <is>
          <t>機器更新（車両更新・電池2個付属）
旧本体R13を救1へ</t>
        </is>
      </c>
      <c r="O19" s="32" t="inlineStr">
        <is>
          <t>新品予備1個を救2へ／救2のR9を受領</t>
        </is>
      </c>
      <c r="P19" s="12" t="n"/>
      <c r="Q19" s="43" t="inlineStr">
        <is>
          <t>保守点検（新品1個）（R9降ろす）</t>
        </is>
      </c>
      <c r="R19" s="12" t="n"/>
      <c r="S19" s="12" t="n"/>
      <c r="T19" s="12" t="n"/>
    </row>
    <row r="20">
      <c r="A20" s="29" t="n"/>
      <c r="B20" s="34" t="inlineStr">
        <is>
          <t>搭載バッテリ（新）</t>
        </is>
      </c>
      <c r="C20" s="35" t="n">
        <v>3</v>
      </c>
      <c r="D20" s="35" t="n">
        <v>3</v>
      </c>
      <c r="E20" s="35" t="n">
        <v>3</v>
      </c>
      <c r="F20" s="35" t="n">
        <v>6</v>
      </c>
      <c r="G20" s="35" t="n"/>
      <c r="H20" s="35" t="n"/>
      <c r="I20" s="36" t="n">
        <v>7</v>
      </c>
      <c r="J20" s="36" t="n">
        <v>10</v>
      </c>
      <c r="K20" s="36" t="n">
        <v>10</v>
      </c>
      <c r="L20" s="36" t="n">
        <v>10</v>
      </c>
      <c r="M20" s="36" t="n">
        <v>13</v>
      </c>
      <c r="N20" s="36" t="n">
        <v>14</v>
      </c>
      <c r="O20" s="36" t="n">
        <v>14</v>
      </c>
      <c r="P20" s="36" t="n">
        <v>14</v>
      </c>
      <c r="Q20" s="36" t="n">
        <v>17</v>
      </c>
      <c r="R20" s="36" t="n">
        <v>17</v>
      </c>
      <c r="S20" s="36" t="n">
        <v>17</v>
      </c>
      <c r="T20" s="12" t="n"/>
    </row>
    <row r="21">
      <c r="A21" s="29" t="n"/>
      <c r="B21" s="34" t="inlineStr">
        <is>
          <t>搭載バッテリ（旧）</t>
        </is>
      </c>
      <c r="C21" s="37" t="n">
        <v>3</v>
      </c>
      <c r="D21" s="37" t="n">
        <v>3</v>
      </c>
      <c r="E21" s="37" t="n">
        <v>3</v>
      </c>
      <c r="F21" s="37" t="n">
        <v>3</v>
      </c>
      <c r="G21" s="37" t="n"/>
      <c r="H21" s="37" t="n"/>
      <c r="I21" s="38" t="n">
        <v>3</v>
      </c>
      <c r="J21" s="38" t="n">
        <v>7</v>
      </c>
      <c r="K21" s="38" t="n">
        <v>7</v>
      </c>
      <c r="L21" s="38" t="n">
        <v>7</v>
      </c>
      <c r="M21" s="38" t="n">
        <v>10</v>
      </c>
      <c r="N21" s="38" t="n">
        <v>14</v>
      </c>
      <c r="O21" s="38" t="n">
        <v>9</v>
      </c>
      <c r="P21" s="38" t="n">
        <v>9</v>
      </c>
      <c r="Q21" s="38" t="n">
        <v>14</v>
      </c>
      <c r="R21" s="38" t="n">
        <v>14</v>
      </c>
      <c r="S21" s="38" t="n">
        <v>14</v>
      </c>
      <c r="T21" s="12" t="n"/>
    </row>
    <row r="22">
      <c r="A22" s="29" t="n"/>
      <c r="B22" s="34" t="inlineStr">
        <is>
          <t>予備バッテリ購入数</t>
        </is>
      </c>
      <c r="C22" s="39" t="n">
        <v>0</v>
      </c>
      <c r="D22" s="39" t="n">
        <v>0</v>
      </c>
      <c r="E22" s="39" t="n">
        <v>0</v>
      </c>
      <c r="F22" s="39" t="n">
        <v>0</v>
      </c>
      <c r="G22" s="39" t="n">
        <v>0</v>
      </c>
      <c r="H22" s="39" t="n">
        <v>0</v>
      </c>
      <c r="I22" s="40" t="n">
        <v>0</v>
      </c>
      <c r="J22" s="41" t="n">
        <v>1</v>
      </c>
      <c r="K22" s="40" t="n">
        <v>0</v>
      </c>
      <c r="L22" s="40" t="n">
        <v>0</v>
      </c>
      <c r="M22" s="40" t="n">
        <v>0</v>
      </c>
      <c r="N22" s="40" t="n">
        <v>0</v>
      </c>
      <c r="O22" s="40" t="n">
        <v>0</v>
      </c>
      <c r="P22" s="40" t="n">
        <v>0</v>
      </c>
      <c r="Q22" s="40" t="n">
        <v>0</v>
      </c>
      <c r="R22" s="40" t="n">
        <v>0</v>
      </c>
      <c r="S22" s="40" t="n">
        <v>0</v>
      </c>
      <c r="T22" s="42">
        <f>SUM(I22:S22)</f>
        <v/>
      </c>
    </row>
    <row r="23">
      <c r="A23" s="42" t="inlineStr">
        <is>
          <t>予備バッテリ</t>
        </is>
      </c>
      <c r="B23" s="44" t="inlineStr">
        <is>
          <t>購入数（年度計）</t>
        </is>
      </c>
      <c r="C23" s="42">
        <f>C10+C14+C18+C22</f>
        <v/>
      </c>
      <c r="D23" s="42">
        <f>D10+D14+D18+D22</f>
        <v/>
      </c>
      <c r="E23" s="42">
        <f>E10+E14+E18+E22</f>
        <v/>
      </c>
      <c r="F23" s="42">
        <f>F10+F14+F18+F22</f>
        <v/>
      </c>
      <c r="G23" s="42">
        <f>G10+G14+G18+G22</f>
        <v/>
      </c>
      <c r="H23" s="42">
        <f>H10+H14+H18+H22</f>
        <v/>
      </c>
      <c r="I23" s="42">
        <f>I10+I14+I18+I22</f>
        <v/>
      </c>
      <c r="J23" s="42">
        <f>J10+J14+J18+J22</f>
        <v/>
      </c>
      <c r="K23" s="42">
        <f>K10+K14+K18+K22</f>
        <v/>
      </c>
      <c r="L23" s="42">
        <f>L10+L14+L18+L22</f>
        <v/>
      </c>
      <c r="M23" s="42">
        <f>M10+M14+M18+M22</f>
        <v/>
      </c>
      <c r="N23" s="42">
        <f>N10+N14+N18+N22</f>
        <v/>
      </c>
      <c r="O23" s="42">
        <f>O10+O14+O18+O22</f>
        <v/>
      </c>
      <c r="P23" s="42">
        <f>P10+P14+P18+P22</f>
        <v/>
      </c>
      <c r="Q23" s="42">
        <f>Q10+Q14+Q18+Q22</f>
        <v/>
      </c>
      <c r="R23" s="42">
        <f>R10+R14+R18+R22</f>
        <v/>
      </c>
      <c r="S23" s="42">
        <f>S10+S14+S18+S22</f>
        <v/>
      </c>
      <c r="T23" s="13">
        <f>SUM(I23:S23)</f>
        <v/>
      </c>
    </row>
    <row r="24">
      <c r="A24" s="45" t="inlineStr"/>
      <c r="B24" s="46" t="inlineStr">
        <is>
          <t>購入数（累計）</t>
        </is>
      </c>
      <c r="C24" s="47">
        <f>C23</f>
        <v/>
      </c>
      <c r="D24" s="47">
        <f>C24+D23</f>
        <v/>
      </c>
      <c r="E24" s="47">
        <f>D24+E23</f>
        <v/>
      </c>
      <c r="F24" s="47">
        <f>E24+F23</f>
        <v/>
      </c>
      <c r="G24" s="47">
        <f>F24+G23</f>
        <v/>
      </c>
      <c r="H24" s="47">
        <f>G24+H23</f>
        <v/>
      </c>
      <c r="I24" s="47">
        <f>H24+I23</f>
        <v/>
      </c>
      <c r="J24" s="47">
        <f>I24+J23</f>
        <v/>
      </c>
      <c r="K24" s="47">
        <f>J24+K23</f>
        <v/>
      </c>
      <c r="L24" s="47">
        <f>K24+L23</f>
        <v/>
      </c>
      <c r="M24" s="47">
        <f>L24+M23</f>
        <v/>
      </c>
      <c r="N24" s="47">
        <f>M24+N23</f>
        <v/>
      </c>
      <c r="O24" s="47">
        <f>N24+O23</f>
        <v/>
      </c>
      <c r="P24" s="47">
        <f>O24+P23</f>
        <v/>
      </c>
      <c r="Q24" s="47">
        <f>P24+Q23</f>
        <v/>
      </c>
      <c r="R24" s="47">
        <f>Q24+R23</f>
        <v/>
      </c>
      <c r="S24" s="47">
        <f>R24+S23</f>
        <v/>
      </c>
      <c r="T24" s="45" t="n"/>
    </row>
    <row r="25" ht="22" customHeight="1">
      <c r="A25" s="48" t="inlineStr">
        <is>
          <t>判定</t>
        </is>
      </c>
      <c r="B25" s="49" t="inlineStr">
        <is>
          <t>全車に耐用年数内の電池1個以上</t>
        </is>
      </c>
      <c r="C25" s="48">
        <f>IF(C$5&lt;9,"－",IF(AND(MAX(C8:C9)&gt;=C$5-$B$3+1,MAX(C12:C13)&gt;=C$5-$B$3+1,MAX(C16:C17)&gt;=C$5-$B$3+1,MAX(C20:C21)&gt;=C$5-$B$3+1),"○","×"))</f>
        <v/>
      </c>
      <c r="D25" s="48">
        <f>IF(D$5&lt;9,"－",IF(AND(MAX(D8:D9)&gt;=D$5-$B$3+1,MAX(D12:D13)&gt;=D$5-$B$3+1,MAX(D16:D17)&gt;=D$5-$B$3+1,MAX(D20:D21)&gt;=D$5-$B$3+1),"○","×"))</f>
        <v/>
      </c>
      <c r="E25" s="48">
        <f>IF(E$5&lt;9,"－",IF(AND(MAX(E8:E9)&gt;=E$5-$B$3+1,MAX(E12:E13)&gt;=E$5-$B$3+1,MAX(E16:E17)&gt;=E$5-$B$3+1,MAX(E20:E21)&gt;=E$5-$B$3+1),"○","×"))</f>
        <v/>
      </c>
      <c r="F25" s="48">
        <f>IF(F$5&lt;9,"－",IF(AND(MAX(F8:F9)&gt;=F$5-$B$3+1,MAX(F12:F13)&gt;=F$5-$B$3+1,MAX(F16:F17)&gt;=F$5-$B$3+1,MAX(F20:F21)&gt;=F$5-$B$3+1),"○","×"))</f>
        <v/>
      </c>
      <c r="G25" s="48">
        <f>IF(G$5&lt;9,"－",IF(AND(MAX(G8:G9)&gt;=G$5-$B$3+1,MAX(G12:G13)&gt;=G$5-$B$3+1,MAX(G16:G17)&gt;=G$5-$B$3+1,MAX(G20:G21)&gt;=G$5-$B$3+1),"○","×"))</f>
        <v/>
      </c>
      <c r="H25" s="48">
        <f>IF(H$5&lt;9,"－",IF(AND(MAX(H8:H9)&gt;=H$5-$B$3+1,MAX(H12:H13)&gt;=H$5-$B$3+1,MAX(H16:H17)&gt;=H$5-$B$3+1,MAX(H20:H21)&gt;=H$5-$B$3+1),"○","×"))</f>
        <v/>
      </c>
      <c r="I25" s="48">
        <f>IF(I$5&lt;9,"－",IF(AND(MAX(I8:I9)&gt;=I$5-$B$3+1,MAX(I12:I13)&gt;=I$5-$B$3+1,MAX(I16:I17)&gt;=I$5-$B$3+1,MAX(I20:I21)&gt;=I$5-$B$3+1),"○","×"))</f>
        <v/>
      </c>
      <c r="J25" s="48">
        <f>IF(J$5&lt;9,"－",IF(AND(MAX(J8:J9)&gt;=J$5-$B$3+1,MAX(J12:J13)&gt;=J$5-$B$3+1,MAX(J16:J17)&gt;=J$5-$B$3+1,MAX(J20:J21)&gt;=J$5-$B$3+1),"○","×"))</f>
        <v/>
      </c>
      <c r="K25" s="48">
        <f>IF(K$5&lt;9,"－",IF(AND(MAX(K8:K9)&gt;=K$5-$B$3+1,MAX(K12:K13)&gt;=K$5-$B$3+1,MAX(K16:K17)&gt;=K$5-$B$3+1,MAX(K20:K21)&gt;=K$5-$B$3+1),"○","×"))</f>
        <v/>
      </c>
      <c r="L25" s="48">
        <f>IF(L$5&lt;9,"－",IF(AND(MAX(L8:L9)&gt;=L$5-$B$3+1,MAX(L12:L13)&gt;=L$5-$B$3+1,MAX(L16:L17)&gt;=L$5-$B$3+1,MAX(L20:L21)&gt;=L$5-$B$3+1),"○","×"))</f>
        <v/>
      </c>
      <c r="M25" s="48">
        <f>IF(M$5&lt;9,"－",IF(AND(MAX(M8:M9)&gt;=M$5-$B$3+1,MAX(M12:M13)&gt;=M$5-$B$3+1,MAX(M16:M17)&gt;=M$5-$B$3+1,MAX(M20:M21)&gt;=M$5-$B$3+1),"○","×"))</f>
        <v/>
      </c>
      <c r="N25" s="48">
        <f>IF(N$5&lt;9,"－",IF(AND(MAX(N8:N9)&gt;=N$5-$B$3+1,MAX(N12:N13)&gt;=N$5-$B$3+1,MAX(N16:N17)&gt;=N$5-$B$3+1,MAX(N20:N21)&gt;=N$5-$B$3+1),"○","×"))</f>
        <v/>
      </c>
      <c r="O25" s="48">
        <f>IF(O$5&lt;9,"－",IF(AND(MAX(O8:O9)&gt;=O$5-$B$3+1,MAX(O12:O13)&gt;=O$5-$B$3+1,MAX(O16:O17)&gt;=O$5-$B$3+1,MAX(O20:O21)&gt;=O$5-$B$3+1),"○","×"))</f>
        <v/>
      </c>
      <c r="P25" s="48">
        <f>IF(P$5&lt;9,"－",IF(AND(MAX(P8:P9)&gt;=P$5-$B$3+1,MAX(P12:P13)&gt;=P$5-$B$3+1,MAX(P16:P17)&gt;=P$5-$B$3+1,MAX(P20:P21)&gt;=P$5-$B$3+1),"○","×"))</f>
        <v/>
      </c>
      <c r="Q25" s="48">
        <f>IF(Q$5&lt;9,"－",IF(AND(MAX(Q8:Q9)&gt;=Q$5-$B$3+1,MAX(Q12:Q13)&gt;=Q$5-$B$3+1,MAX(Q16:Q17)&gt;=Q$5-$B$3+1,MAX(Q20:Q21)&gt;=Q$5-$B$3+1),"○","×"))</f>
        <v/>
      </c>
      <c r="R25" s="48">
        <f>IF(R$5&lt;9,"－",IF(AND(MAX(R8:R9)&gt;=R$5-$B$3+1,MAX(R12:R13)&gt;=R$5-$B$3+1,MAX(R16:R17)&gt;=R$5-$B$3+1,MAX(R20:R21)&gt;=R$5-$B$3+1),"○","×"))</f>
        <v/>
      </c>
      <c r="S25" s="48">
        <f>IF(S$5&lt;9,"－",IF(AND(MAX(S8:S9)&gt;=S$5-$B$3+1,MAX(S12:S13)&gt;=S$5-$B$3+1,MAX(S16:S17)&gt;=S$5-$B$3+1,MAX(S20:S21)&gt;=S$5-$B$3+1),"○","×"))</f>
        <v/>
      </c>
      <c r="T25" s="48">
        <f>IF(COUNTIF(I25:S25,"×")=0,"全年度OK","要確認")</f>
        <v/>
      </c>
    </row>
    <row r="27">
      <c r="A27" s="50" t="inlineStr">
        <is>
          <t>凡例</t>
        </is>
      </c>
    </row>
    <row r="28">
      <c r="A28" s="51" t="inlineStr"/>
      <c r="B28" s="2" t="inlineStr">
        <is>
          <t>新規配備／機器更新（新品電池2個付属）</t>
        </is>
      </c>
    </row>
    <row r="29">
      <c r="A29" s="52" t="inlineStr"/>
      <c r="B29" s="2" t="inlineStr">
        <is>
          <t>保守点検（新品電池1個付属）</t>
        </is>
      </c>
    </row>
    <row r="30">
      <c r="A30" s="53" t="inlineStr"/>
      <c r="B30" s="2" t="inlineStr">
        <is>
          <t>予備バッテリ購入</t>
        </is>
      </c>
    </row>
    <row r="31">
      <c r="A31" s="54" t="inlineStr"/>
      <c r="B31" s="2" t="inlineStr">
        <is>
          <t>車両間でのバッテリ入替（購入なし）</t>
        </is>
      </c>
    </row>
    <row r="32">
      <c r="A32" s="10" t="inlineStr"/>
      <c r="B32" s="2" t="inlineStr">
        <is>
          <t>実績年度（R3〜R8）</t>
        </is>
      </c>
    </row>
    <row r="34">
      <c r="A34" s="2" t="inlineStr">
        <is>
          <t>※「搭載バッテリ（新）（旧）」は、その年度末時点で各車に積んでいる2個の電池の導入年度。</t>
        </is>
      </c>
    </row>
    <row r="35">
      <c r="A35" s="2" t="inlineStr">
        <is>
          <t>※ 購入数・判定はすべて数式。判定基準（B3）を書き換えると全年度の判定が再計算される（搭載計画そのものは自動では変わらない）。</t>
        </is>
      </c>
    </row>
    <row r="36">
      <c r="A36" s="2" t="inlineStr">
        <is>
          <t>※ 判定は R9 以降のみ（R3〜R8 は実績のため「－」）。B3=3 のとき全年度「○」。</t>
        </is>
      </c>
    </row>
    <row r="37">
      <c r="A37" s="2" t="inlineStr">
        <is>
          <t>※ R9の予備バッテリ購入は0個。救2の機器更新で新品2個が入るため。</t>
        </is>
      </c>
    </row>
  </sheetData>
  <mergeCells count="4">
    <mergeCell ref="A7:A10"/>
    <mergeCell ref="A19:A22"/>
    <mergeCell ref="A11:A14"/>
    <mergeCell ref="A15:A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0" customWidth="1" min="20" max="20"/>
  </cols>
  <sheetData>
    <row r="1">
      <c r="A1" s="1" t="inlineStr">
        <is>
          <t>犬山市　自動式心マッサージ器（LUCAS3）　バッテリ更新計画　【4年維持版】</t>
        </is>
      </c>
    </row>
    <row r="2">
      <c r="A2" s="2" t="inlineStr">
        <is>
          <t>元資料「保守点検及び本体、バッテリ更新計画（2026.5修正）」をベースに、①R7の救急犬山1の車両更新（ルーカスは購入せず救急犬山4の本体を載せ替え）、②救急犬山2の旧本体の載せ替え先は救急犬山4、の2点を反映し、R9以降の予備バッテリ購入数を精査したもの。機器更新・保守点検の年度は元資料から変更していない。</t>
        </is>
      </c>
    </row>
    <row r="3">
      <c r="A3" s="26" t="inlineStr">
        <is>
          <t>判定基準（年）</t>
        </is>
      </c>
      <c r="B3" s="13" t="n">
        <v>4</v>
      </c>
      <c r="C3" s="2" t="inlineStr">
        <is>
          <t>…各車とも「導入年度＋3年度以内」に導入したバッテリを1個以上搭載していればOK</t>
        </is>
      </c>
    </row>
    <row r="5" ht="20" customHeight="1">
      <c r="A5" s="5" t="inlineStr">
        <is>
          <t>車両</t>
        </is>
      </c>
      <c r="B5" s="5" t="inlineStr">
        <is>
          <t>項目</t>
        </is>
      </c>
      <c r="C5" s="7" t="n">
        <v>3</v>
      </c>
      <c r="D5" s="7" t="n">
        <v>4</v>
      </c>
      <c r="E5" s="7" t="n">
        <v>5</v>
      </c>
      <c r="F5" s="7" t="n">
        <v>6</v>
      </c>
      <c r="G5" s="7" t="n">
        <v>7</v>
      </c>
      <c r="H5" s="7" t="n">
        <v>8</v>
      </c>
      <c r="I5" s="7" t="n">
        <v>9</v>
      </c>
      <c r="J5" s="7" t="n">
        <v>10</v>
      </c>
      <c r="K5" s="7" t="n">
        <v>11</v>
      </c>
      <c r="L5" s="7" t="n">
        <v>12</v>
      </c>
      <c r="M5" s="7" t="n">
        <v>13</v>
      </c>
      <c r="N5" s="7" t="n">
        <v>14</v>
      </c>
      <c r="O5" s="7" t="n">
        <v>15</v>
      </c>
      <c r="P5" s="7" t="n">
        <v>16</v>
      </c>
      <c r="Q5" s="7" t="n">
        <v>17</v>
      </c>
      <c r="R5" s="7" t="n">
        <v>18</v>
      </c>
      <c r="S5" s="7" t="n">
        <v>19</v>
      </c>
      <c r="T5" s="8" t="inlineStr">
        <is>
          <t>R9〜R19
合計</t>
        </is>
      </c>
    </row>
    <row r="6">
      <c r="A6" s="27" t="inlineStr">
        <is>
          <t>区分</t>
        </is>
      </c>
      <c r="B6" s="28" t="inlineStr"/>
      <c r="C6" s="3" t="inlineStr">
        <is>
          <t>実績</t>
        </is>
      </c>
      <c r="D6" s="3" t="inlineStr">
        <is>
          <t>実績</t>
        </is>
      </c>
      <c r="E6" s="3" t="inlineStr">
        <is>
          <t>実績</t>
        </is>
      </c>
      <c r="F6" s="3" t="inlineStr">
        <is>
          <t>実績</t>
        </is>
      </c>
      <c r="G6" s="3" t="inlineStr">
        <is>
          <t>実績</t>
        </is>
      </c>
      <c r="H6" s="3" t="inlineStr">
        <is>
          <t>実績</t>
        </is>
      </c>
      <c r="I6" s="4" t="inlineStr">
        <is>
          <t>計画</t>
        </is>
      </c>
      <c r="J6" s="4" t="inlineStr">
        <is>
          <t>計画</t>
        </is>
      </c>
      <c r="K6" s="4" t="inlineStr">
        <is>
          <t>計画</t>
        </is>
      </c>
      <c r="L6" s="4" t="inlineStr">
        <is>
          <t>計画</t>
        </is>
      </c>
      <c r="M6" s="4" t="inlineStr">
        <is>
          <t>計画</t>
        </is>
      </c>
      <c r="N6" s="4" t="inlineStr">
        <is>
          <t>計画</t>
        </is>
      </c>
      <c r="O6" s="4" t="inlineStr">
        <is>
          <t>計画</t>
        </is>
      </c>
      <c r="P6" s="4" t="inlineStr">
        <is>
          <t>計画</t>
        </is>
      </c>
      <c r="Q6" s="4" t="inlineStr">
        <is>
          <t>計画</t>
        </is>
      </c>
      <c r="R6" s="4" t="inlineStr">
        <is>
          <t>計画</t>
        </is>
      </c>
      <c r="S6" s="4" t="inlineStr">
        <is>
          <t>計画</t>
        </is>
      </c>
      <c r="T6" s="28" t="inlineStr"/>
    </row>
    <row r="7" ht="52" customHeight="1">
      <c r="A7" s="29" t="inlineStr">
        <is>
          <t>救急犬山1
(LUCAS3)</t>
        </is>
      </c>
      <c r="B7" s="30" t="inlineStr">
        <is>
          <t>機器イベント・作業</t>
        </is>
      </c>
      <c r="C7" s="10" t="n"/>
      <c r="D7" s="10" t="n"/>
      <c r="E7" s="10" t="n"/>
      <c r="F7" s="10" t="n"/>
      <c r="G7" s="31" t="inlineStr">
        <is>
          <t>車両更新（ルーカス購入なし）
救4の本体を載せ替え（電池R3・R6も）</t>
        </is>
      </c>
      <c r="H7" s="10" t="n"/>
      <c r="I7" s="12" t="n"/>
      <c r="J7" s="32" t="inlineStr">
        <is>
          <t>救2の新品1個を受領（R3降ろす）</t>
        </is>
      </c>
      <c r="K7" s="12" t="n"/>
      <c r="L7" s="32" t="inlineStr">
        <is>
          <t>救3更新の新品1個を受領（R6降ろす）</t>
        </is>
      </c>
      <c r="M7" s="12" t="n"/>
      <c r="N7" s="32" t="inlineStr">
        <is>
          <t>救4更新の新品1個を受領（R9降ろす）</t>
        </is>
      </c>
      <c r="O7" s="12" t="n"/>
      <c r="P7" s="12" t="n"/>
      <c r="Q7" s="12" t="n"/>
      <c r="R7" s="33" t="inlineStr">
        <is>
          <t>予備1個購入→搭載（R12降ろす）</t>
        </is>
      </c>
      <c r="S7" s="12" t="n"/>
      <c r="T7" s="12" t="n"/>
    </row>
    <row r="8">
      <c r="A8" s="29" t="n"/>
      <c r="B8" s="34" t="inlineStr">
        <is>
          <t>搭載バッテリ（新）</t>
        </is>
      </c>
      <c r="C8" s="35" t="n"/>
      <c r="D8" s="35" t="n"/>
      <c r="E8" s="35" t="n"/>
      <c r="F8" s="35" t="n"/>
      <c r="G8" s="35" t="n">
        <v>6</v>
      </c>
      <c r="H8" s="35" t="n">
        <v>6</v>
      </c>
      <c r="I8" s="36" t="n">
        <v>6</v>
      </c>
      <c r="J8" s="36" t="n">
        <v>9</v>
      </c>
      <c r="K8" s="36" t="n">
        <v>9</v>
      </c>
      <c r="L8" s="36" t="n">
        <v>12</v>
      </c>
      <c r="M8" s="36" t="n">
        <v>12</v>
      </c>
      <c r="N8" s="36" t="n">
        <v>14</v>
      </c>
      <c r="O8" s="36" t="n">
        <v>14</v>
      </c>
      <c r="P8" s="36" t="n">
        <v>14</v>
      </c>
      <c r="Q8" s="36" t="n">
        <v>14</v>
      </c>
      <c r="R8" s="36" t="n">
        <v>18</v>
      </c>
      <c r="S8" s="36" t="n">
        <v>18</v>
      </c>
      <c r="T8" s="12" t="n"/>
    </row>
    <row r="9">
      <c r="A9" s="29" t="n"/>
      <c r="B9" s="34" t="inlineStr">
        <is>
          <t>搭載バッテリ（旧）</t>
        </is>
      </c>
      <c r="C9" s="37" t="n"/>
      <c r="D9" s="37" t="n"/>
      <c r="E9" s="37" t="n"/>
      <c r="F9" s="37" t="n"/>
      <c r="G9" s="37" t="n">
        <v>3</v>
      </c>
      <c r="H9" s="37" t="n">
        <v>3</v>
      </c>
      <c r="I9" s="38" t="n">
        <v>3</v>
      </c>
      <c r="J9" s="38" t="n">
        <v>6</v>
      </c>
      <c r="K9" s="38" t="n">
        <v>6</v>
      </c>
      <c r="L9" s="38" t="n">
        <v>9</v>
      </c>
      <c r="M9" s="38" t="n">
        <v>9</v>
      </c>
      <c r="N9" s="38" t="n">
        <v>12</v>
      </c>
      <c r="O9" s="38" t="n">
        <v>12</v>
      </c>
      <c r="P9" s="38" t="n">
        <v>12</v>
      </c>
      <c r="Q9" s="38" t="n">
        <v>12</v>
      </c>
      <c r="R9" s="38" t="n">
        <v>14</v>
      </c>
      <c r="S9" s="38" t="n">
        <v>14</v>
      </c>
      <c r="T9" s="12" t="n"/>
    </row>
    <row r="10">
      <c r="A10" s="29" t="n"/>
      <c r="B10" s="34" t="inlineStr">
        <is>
          <t>予備バッテリ購入数</t>
        </is>
      </c>
      <c r="C10" s="39" t="n">
        <v>0</v>
      </c>
      <c r="D10" s="39" t="n">
        <v>0</v>
      </c>
      <c r="E10" s="39" t="n">
        <v>0</v>
      </c>
      <c r="F10" s="39" t="n">
        <v>0</v>
      </c>
      <c r="G10" s="39" t="n">
        <v>0</v>
      </c>
      <c r="H10" s="39" t="n">
        <v>0</v>
      </c>
      <c r="I10" s="40" t="n">
        <v>0</v>
      </c>
      <c r="J10" s="40" t="n">
        <v>0</v>
      </c>
      <c r="K10" s="40" t="n">
        <v>0</v>
      </c>
      <c r="L10" s="40" t="n">
        <v>0</v>
      </c>
      <c r="M10" s="40" t="n">
        <v>0</v>
      </c>
      <c r="N10" s="40" t="n">
        <v>0</v>
      </c>
      <c r="O10" s="40" t="n">
        <v>0</v>
      </c>
      <c r="P10" s="40" t="n">
        <v>0</v>
      </c>
      <c r="Q10" s="40" t="n">
        <v>0</v>
      </c>
      <c r="R10" s="41" t="n">
        <v>1</v>
      </c>
      <c r="S10" s="40" t="n">
        <v>0</v>
      </c>
      <c r="T10" s="42">
        <f>SUM(I10:S10)</f>
        <v/>
      </c>
    </row>
    <row r="11" ht="52" customHeight="1">
      <c r="A11" s="29" t="inlineStr">
        <is>
          <t>救急犬山2
(LUCAS3)</t>
        </is>
      </c>
      <c r="B11" s="30" t="inlineStr">
        <is>
          <t>機器イベント・作業</t>
        </is>
      </c>
      <c r="C11" s="31" t="inlineStr">
        <is>
          <t>新規配備（電池2個付属）</t>
        </is>
      </c>
      <c r="D11" s="10" t="n"/>
      <c r="E11" s="10" t="n"/>
      <c r="F11" s="10" t="n"/>
      <c r="G11" s="43" t="inlineStr">
        <is>
          <t>保守点検（新品1個）</t>
        </is>
      </c>
      <c r="H11" s="10" t="n"/>
      <c r="I11" s="31" t="inlineStr">
        <is>
          <t>機器更新（車両更新・電池2個付属）
旧本体を救4へ</t>
        </is>
      </c>
      <c r="J11" s="32" t="inlineStr">
        <is>
          <t>新品1個を救1のR3と交換</t>
        </is>
      </c>
      <c r="K11" s="12" t="n"/>
      <c r="L11" s="12" t="n"/>
      <c r="M11" s="43" t="inlineStr">
        <is>
          <t>保守点検（新品1個）（R3降ろす）</t>
        </is>
      </c>
      <c r="N11" s="12" t="n"/>
      <c r="O11" s="12" t="n"/>
      <c r="P11" s="12" t="n"/>
      <c r="Q11" s="32" t="inlineStr">
        <is>
          <t>救4保守点検の新品を搭載（R9降ろす）</t>
        </is>
      </c>
      <c r="R11" s="12" t="n"/>
      <c r="S11" s="12" t="n"/>
      <c r="T11" s="12" t="n"/>
    </row>
    <row r="12">
      <c r="A12" s="29" t="n"/>
      <c r="B12" s="34" t="inlineStr">
        <is>
          <t>搭載バッテリ（新）</t>
        </is>
      </c>
      <c r="C12" s="35" t="n">
        <v>3</v>
      </c>
      <c r="D12" s="35" t="n">
        <v>3</v>
      </c>
      <c r="E12" s="35" t="n">
        <v>3</v>
      </c>
      <c r="F12" s="35" t="n">
        <v>3</v>
      </c>
      <c r="G12" s="35" t="n">
        <v>7</v>
      </c>
      <c r="H12" s="35" t="n">
        <v>7</v>
      </c>
      <c r="I12" s="36" t="n">
        <v>9</v>
      </c>
      <c r="J12" s="36" t="n">
        <v>9</v>
      </c>
      <c r="K12" s="36" t="n">
        <v>9</v>
      </c>
      <c r="L12" s="36" t="n">
        <v>9</v>
      </c>
      <c r="M12" s="36" t="n">
        <v>13</v>
      </c>
      <c r="N12" s="36" t="n">
        <v>13</v>
      </c>
      <c r="O12" s="36" t="n">
        <v>13</v>
      </c>
      <c r="P12" s="36" t="n">
        <v>13</v>
      </c>
      <c r="Q12" s="36" t="n">
        <v>17</v>
      </c>
      <c r="R12" s="36" t="n">
        <v>17</v>
      </c>
      <c r="S12" s="36" t="n">
        <v>17</v>
      </c>
      <c r="T12" s="12" t="n"/>
    </row>
    <row r="13">
      <c r="A13" s="29" t="n"/>
      <c r="B13" s="34" t="inlineStr">
        <is>
          <t>搭載バッテリ（旧）</t>
        </is>
      </c>
      <c r="C13" s="37" t="n">
        <v>3</v>
      </c>
      <c r="D13" s="37" t="n">
        <v>3</v>
      </c>
      <c r="E13" s="37" t="n">
        <v>3</v>
      </c>
      <c r="F13" s="37" t="n">
        <v>3</v>
      </c>
      <c r="G13" s="37" t="n">
        <v>3</v>
      </c>
      <c r="H13" s="37" t="n">
        <v>3</v>
      </c>
      <c r="I13" s="38" t="n">
        <v>9</v>
      </c>
      <c r="J13" s="38" t="n">
        <v>3</v>
      </c>
      <c r="K13" s="38" t="n">
        <v>3</v>
      </c>
      <c r="L13" s="38" t="n">
        <v>3</v>
      </c>
      <c r="M13" s="38" t="n">
        <v>9</v>
      </c>
      <c r="N13" s="38" t="n">
        <v>9</v>
      </c>
      <c r="O13" s="38" t="n">
        <v>9</v>
      </c>
      <c r="P13" s="38" t="n">
        <v>9</v>
      </c>
      <c r="Q13" s="38" t="n">
        <v>13</v>
      </c>
      <c r="R13" s="38" t="n">
        <v>13</v>
      </c>
      <c r="S13" s="38" t="n">
        <v>13</v>
      </c>
      <c r="T13" s="12" t="n"/>
    </row>
    <row r="14">
      <c r="A14" s="29" t="n"/>
      <c r="B14" s="34" t="inlineStr">
        <is>
          <t>予備バッテリ購入数</t>
        </is>
      </c>
      <c r="C14" s="39" t="n">
        <v>0</v>
      </c>
      <c r="D14" s="39" t="n">
        <v>0</v>
      </c>
      <c r="E14" s="39" t="n">
        <v>0</v>
      </c>
      <c r="F14" s="39" t="n">
        <v>0</v>
      </c>
      <c r="G14" s="39" t="n">
        <v>0</v>
      </c>
      <c r="H14" s="39" t="n">
        <v>0</v>
      </c>
      <c r="I14" s="40" t="n">
        <v>0</v>
      </c>
      <c r="J14" s="40" t="n">
        <v>0</v>
      </c>
      <c r="K14" s="40" t="n">
        <v>0</v>
      </c>
      <c r="L14" s="40" t="n">
        <v>0</v>
      </c>
      <c r="M14" s="40" t="n">
        <v>0</v>
      </c>
      <c r="N14" s="40" t="n">
        <v>0</v>
      </c>
      <c r="O14" s="40" t="n">
        <v>0</v>
      </c>
      <c r="P14" s="40" t="n">
        <v>0</v>
      </c>
      <c r="Q14" s="40" t="n">
        <v>0</v>
      </c>
      <c r="R14" s="40" t="n">
        <v>0</v>
      </c>
      <c r="S14" s="40" t="n">
        <v>0</v>
      </c>
      <c r="T14" s="42">
        <f>SUM(I14:S14)</f>
        <v/>
      </c>
    </row>
    <row r="15" ht="52" customHeight="1">
      <c r="A15" s="29" t="inlineStr">
        <is>
          <t>救急犬山3
(LUCAS3)</t>
        </is>
      </c>
      <c r="B15" s="30" t="inlineStr">
        <is>
          <t>機器イベント・作業</t>
        </is>
      </c>
      <c r="C15" s="31" t="inlineStr">
        <is>
          <t>新規配備（電池2個付属）</t>
        </is>
      </c>
      <c r="D15" s="10" t="n"/>
      <c r="E15" s="10" t="n"/>
      <c r="F15" s="10" t="n"/>
      <c r="G15" s="10" t="n"/>
      <c r="H15" s="43" t="inlineStr">
        <is>
          <t>保守点検（新品1個）</t>
        </is>
      </c>
      <c r="I15" s="12" t="n"/>
      <c r="J15" s="12" t="n"/>
      <c r="K15" s="12" t="n"/>
      <c r="L15" s="31" t="inlineStr">
        <is>
          <t>機器更新（車両更新・電池2個付属）
新品1個を救1へ／旧本体R8を継続搭載</t>
        </is>
      </c>
      <c r="M15" s="12" t="n"/>
      <c r="N15" s="12" t="n"/>
      <c r="O15" s="12" t="n"/>
      <c r="P15" s="43" t="inlineStr">
        <is>
          <t>保守点検（新品1個）（R8降ろす）</t>
        </is>
      </c>
      <c r="Q15" s="12" t="n"/>
      <c r="R15" s="12" t="n"/>
      <c r="S15" s="12" t="n"/>
      <c r="T15" s="12" t="n"/>
    </row>
    <row r="16">
      <c r="A16" s="29" t="n"/>
      <c r="B16" s="34" t="inlineStr">
        <is>
          <t>搭載バッテリ（新）</t>
        </is>
      </c>
      <c r="C16" s="35" t="n">
        <v>3</v>
      </c>
      <c r="D16" s="35" t="n">
        <v>3</v>
      </c>
      <c r="E16" s="35" t="n">
        <v>3</v>
      </c>
      <c r="F16" s="35" t="n">
        <v>3</v>
      </c>
      <c r="G16" s="35" t="n">
        <v>3</v>
      </c>
      <c r="H16" s="35" t="n">
        <v>8</v>
      </c>
      <c r="I16" s="36" t="n">
        <v>8</v>
      </c>
      <c r="J16" s="36" t="n">
        <v>8</v>
      </c>
      <c r="K16" s="36" t="n">
        <v>8</v>
      </c>
      <c r="L16" s="36" t="n">
        <v>12</v>
      </c>
      <c r="M16" s="36" t="n">
        <v>12</v>
      </c>
      <c r="N16" s="36" t="n">
        <v>12</v>
      </c>
      <c r="O16" s="36" t="n">
        <v>12</v>
      </c>
      <c r="P16" s="36" t="n">
        <v>16</v>
      </c>
      <c r="Q16" s="36" t="n">
        <v>16</v>
      </c>
      <c r="R16" s="36" t="n">
        <v>16</v>
      </c>
      <c r="S16" s="36" t="n">
        <v>16</v>
      </c>
      <c r="T16" s="12" t="n"/>
    </row>
    <row r="17">
      <c r="A17" s="29" t="n"/>
      <c r="B17" s="34" t="inlineStr">
        <is>
          <t>搭載バッテリ（旧）</t>
        </is>
      </c>
      <c r="C17" s="37" t="n">
        <v>3</v>
      </c>
      <c r="D17" s="37" t="n">
        <v>3</v>
      </c>
      <c r="E17" s="37" t="n">
        <v>3</v>
      </c>
      <c r="F17" s="37" t="n">
        <v>3</v>
      </c>
      <c r="G17" s="37" t="n">
        <v>3</v>
      </c>
      <c r="H17" s="37" t="n">
        <v>3</v>
      </c>
      <c r="I17" s="38" t="n">
        <v>3</v>
      </c>
      <c r="J17" s="38" t="n">
        <v>3</v>
      </c>
      <c r="K17" s="38" t="n">
        <v>3</v>
      </c>
      <c r="L17" s="38" t="n">
        <v>8</v>
      </c>
      <c r="M17" s="38" t="n">
        <v>8</v>
      </c>
      <c r="N17" s="38" t="n">
        <v>8</v>
      </c>
      <c r="O17" s="38" t="n">
        <v>8</v>
      </c>
      <c r="P17" s="38" t="n">
        <v>12</v>
      </c>
      <c r="Q17" s="38" t="n">
        <v>12</v>
      </c>
      <c r="R17" s="38" t="n">
        <v>12</v>
      </c>
      <c r="S17" s="38" t="n">
        <v>12</v>
      </c>
      <c r="T17" s="12" t="n"/>
    </row>
    <row r="18">
      <c r="A18" s="29" t="n"/>
      <c r="B18" s="34" t="inlineStr">
        <is>
          <t>予備バッテリ購入数</t>
        </is>
      </c>
      <c r="C18" s="39" t="n">
        <v>0</v>
      </c>
      <c r="D18" s="39" t="n">
        <v>0</v>
      </c>
      <c r="E18" s="39" t="n">
        <v>0</v>
      </c>
      <c r="F18" s="39" t="n">
        <v>0</v>
      </c>
      <c r="G18" s="39" t="n">
        <v>0</v>
      </c>
      <c r="H18" s="39" t="n">
        <v>0</v>
      </c>
      <c r="I18" s="40" t="n">
        <v>0</v>
      </c>
      <c r="J18" s="40" t="n">
        <v>0</v>
      </c>
      <c r="K18" s="40" t="n">
        <v>0</v>
      </c>
      <c r="L18" s="40" t="n">
        <v>0</v>
      </c>
      <c r="M18" s="40" t="n">
        <v>0</v>
      </c>
      <c r="N18" s="40" t="n">
        <v>0</v>
      </c>
      <c r="O18" s="40" t="n">
        <v>0</v>
      </c>
      <c r="P18" s="40" t="n">
        <v>0</v>
      </c>
      <c r="Q18" s="40" t="n">
        <v>0</v>
      </c>
      <c r="R18" s="40" t="n">
        <v>0</v>
      </c>
      <c r="S18" s="40" t="n">
        <v>0</v>
      </c>
      <c r="T18" s="42">
        <f>SUM(I18:S18)</f>
        <v/>
      </c>
    </row>
    <row r="19" ht="52" customHeight="1">
      <c r="A19" s="29" t="inlineStr">
        <is>
          <t>救急犬山4
(LUCAS3)</t>
        </is>
      </c>
      <c r="B19" s="30" t="inlineStr">
        <is>
          <t>機器イベント・作業</t>
        </is>
      </c>
      <c r="C19" s="31" t="inlineStr">
        <is>
          <t>新規配備（電池2個付属）</t>
        </is>
      </c>
      <c r="D19" s="10" t="n"/>
      <c r="E19" s="10" t="n"/>
      <c r="F19" s="43" t="inlineStr">
        <is>
          <t>保守点検（新品1個）</t>
        </is>
      </c>
      <c r="G19" s="32" t="inlineStr">
        <is>
          <t>本体を救1へ載せ替え
以降R8まで積載なし</t>
        </is>
      </c>
      <c r="H19" s="10" t="n"/>
      <c r="I19" s="31" t="inlineStr">
        <is>
          <t>旧救2本体を受領（電池R3・R7付き）</t>
        </is>
      </c>
      <c r="J19" s="12" t="n"/>
      <c r="K19" s="33" t="inlineStr">
        <is>
          <t>予備1個購入→搭載（R3降ろす）</t>
        </is>
      </c>
      <c r="L19" s="12" t="n"/>
      <c r="M19" s="12" t="n"/>
      <c r="N19" s="31" t="inlineStr">
        <is>
          <t>機器更新（車両更新・電池2個付属）
新品1個を救1へ／旧本体R11を継続搭載</t>
        </is>
      </c>
      <c r="O19" s="12" t="n"/>
      <c r="P19" s="12" t="n"/>
      <c r="Q19" s="43" t="inlineStr">
        <is>
          <t>保守点検（新品1個）→救2へ</t>
        </is>
      </c>
      <c r="R19" s="33" t="inlineStr">
        <is>
          <t>予備1個購入→搭載（R11降ろす）</t>
        </is>
      </c>
      <c r="S19" s="12" t="n"/>
      <c r="T19" s="12" t="n"/>
    </row>
    <row r="20">
      <c r="A20" s="29" t="n"/>
      <c r="B20" s="34" t="inlineStr">
        <is>
          <t>搭載バッテリ（新）</t>
        </is>
      </c>
      <c r="C20" s="35" t="n">
        <v>3</v>
      </c>
      <c r="D20" s="35" t="n">
        <v>3</v>
      </c>
      <c r="E20" s="35" t="n">
        <v>3</v>
      </c>
      <c r="F20" s="35" t="n">
        <v>6</v>
      </c>
      <c r="G20" s="35" t="n"/>
      <c r="H20" s="35" t="n"/>
      <c r="I20" s="36" t="n">
        <v>7</v>
      </c>
      <c r="J20" s="36" t="n">
        <v>7</v>
      </c>
      <c r="K20" s="36" t="n">
        <v>11</v>
      </c>
      <c r="L20" s="36" t="n">
        <v>11</v>
      </c>
      <c r="M20" s="36" t="n">
        <v>11</v>
      </c>
      <c r="N20" s="36" t="n">
        <v>14</v>
      </c>
      <c r="O20" s="36" t="n">
        <v>14</v>
      </c>
      <c r="P20" s="36" t="n">
        <v>14</v>
      </c>
      <c r="Q20" s="36" t="n">
        <v>14</v>
      </c>
      <c r="R20" s="36" t="n">
        <v>18</v>
      </c>
      <c r="S20" s="36" t="n">
        <v>18</v>
      </c>
      <c r="T20" s="12" t="n"/>
    </row>
    <row r="21">
      <c r="A21" s="29" t="n"/>
      <c r="B21" s="34" t="inlineStr">
        <is>
          <t>搭載バッテリ（旧）</t>
        </is>
      </c>
      <c r="C21" s="37" t="n">
        <v>3</v>
      </c>
      <c r="D21" s="37" t="n">
        <v>3</v>
      </c>
      <c r="E21" s="37" t="n">
        <v>3</v>
      </c>
      <c r="F21" s="37" t="n">
        <v>3</v>
      </c>
      <c r="G21" s="37" t="n"/>
      <c r="H21" s="37" t="n"/>
      <c r="I21" s="38" t="n">
        <v>3</v>
      </c>
      <c r="J21" s="38" t="n">
        <v>3</v>
      </c>
      <c r="K21" s="38" t="n">
        <v>7</v>
      </c>
      <c r="L21" s="38" t="n">
        <v>7</v>
      </c>
      <c r="M21" s="38" t="n">
        <v>7</v>
      </c>
      <c r="N21" s="38" t="n">
        <v>11</v>
      </c>
      <c r="O21" s="38" t="n">
        <v>11</v>
      </c>
      <c r="P21" s="38" t="n">
        <v>11</v>
      </c>
      <c r="Q21" s="38" t="n">
        <v>11</v>
      </c>
      <c r="R21" s="38" t="n">
        <v>14</v>
      </c>
      <c r="S21" s="38" t="n">
        <v>14</v>
      </c>
      <c r="T21" s="12" t="n"/>
    </row>
    <row r="22">
      <c r="A22" s="29" t="n"/>
      <c r="B22" s="34" t="inlineStr">
        <is>
          <t>予備バッテリ購入数</t>
        </is>
      </c>
      <c r="C22" s="39" t="n">
        <v>0</v>
      </c>
      <c r="D22" s="39" t="n">
        <v>0</v>
      </c>
      <c r="E22" s="39" t="n">
        <v>0</v>
      </c>
      <c r="F22" s="39" t="n">
        <v>0</v>
      </c>
      <c r="G22" s="39" t="n">
        <v>0</v>
      </c>
      <c r="H22" s="39" t="n">
        <v>0</v>
      </c>
      <c r="I22" s="40" t="n">
        <v>0</v>
      </c>
      <c r="J22" s="40" t="n">
        <v>0</v>
      </c>
      <c r="K22" s="41" t="n">
        <v>1</v>
      </c>
      <c r="L22" s="40" t="n">
        <v>0</v>
      </c>
      <c r="M22" s="40" t="n">
        <v>0</v>
      </c>
      <c r="N22" s="40" t="n">
        <v>0</v>
      </c>
      <c r="O22" s="40" t="n">
        <v>0</v>
      </c>
      <c r="P22" s="40" t="n">
        <v>0</v>
      </c>
      <c r="Q22" s="40" t="n">
        <v>0</v>
      </c>
      <c r="R22" s="41" t="n">
        <v>1</v>
      </c>
      <c r="S22" s="40" t="n">
        <v>0</v>
      </c>
      <c r="T22" s="42">
        <f>SUM(I22:S22)</f>
        <v/>
      </c>
    </row>
    <row r="23">
      <c r="A23" s="42" t="inlineStr">
        <is>
          <t>予備バッテリ</t>
        </is>
      </c>
      <c r="B23" s="44" t="inlineStr">
        <is>
          <t>購入数（年度計）</t>
        </is>
      </c>
      <c r="C23" s="42">
        <f>C10+C14+C18+C22</f>
        <v/>
      </c>
      <c r="D23" s="42">
        <f>D10+D14+D18+D22</f>
        <v/>
      </c>
      <c r="E23" s="42">
        <f>E10+E14+E18+E22</f>
        <v/>
      </c>
      <c r="F23" s="42">
        <f>F10+F14+F18+F22</f>
        <v/>
      </c>
      <c r="G23" s="42">
        <f>G10+G14+G18+G22</f>
        <v/>
      </c>
      <c r="H23" s="42">
        <f>H10+H14+H18+H22</f>
        <v/>
      </c>
      <c r="I23" s="42">
        <f>I10+I14+I18+I22</f>
        <v/>
      </c>
      <c r="J23" s="42">
        <f>J10+J14+J18+J22</f>
        <v/>
      </c>
      <c r="K23" s="42">
        <f>K10+K14+K18+K22</f>
        <v/>
      </c>
      <c r="L23" s="42">
        <f>L10+L14+L18+L22</f>
        <v/>
      </c>
      <c r="M23" s="42">
        <f>M10+M14+M18+M22</f>
        <v/>
      </c>
      <c r="N23" s="42">
        <f>N10+N14+N18+N22</f>
        <v/>
      </c>
      <c r="O23" s="42">
        <f>O10+O14+O18+O22</f>
        <v/>
      </c>
      <c r="P23" s="42">
        <f>P10+P14+P18+P22</f>
        <v/>
      </c>
      <c r="Q23" s="42">
        <f>Q10+Q14+Q18+Q22</f>
        <v/>
      </c>
      <c r="R23" s="42">
        <f>R10+R14+R18+R22</f>
        <v/>
      </c>
      <c r="S23" s="42">
        <f>S10+S14+S18+S22</f>
        <v/>
      </c>
      <c r="T23" s="13">
        <f>SUM(I23:S23)</f>
        <v/>
      </c>
    </row>
    <row r="24">
      <c r="A24" s="45" t="inlineStr"/>
      <c r="B24" s="46" t="inlineStr">
        <is>
          <t>購入数（累計）</t>
        </is>
      </c>
      <c r="C24" s="47">
        <f>C23</f>
        <v/>
      </c>
      <c r="D24" s="47">
        <f>C24+D23</f>
        <v/>
      </c>
      <c r="E24" s="47">
        <f>D24+E23</f>
        <v/>
      </c>
      <c r="F24" s="47">
        <f>E24+F23</f>
        <v/>
      </c>
      <c r="G24" s="47">
        <f>F24+G23</f>
        <v/>
      </c>
      <c r="H24" s="47">
        <f>G24+H23</f>
        <v/>
      </c>
      <c r="I24" s="47">
        <f>H24+I23</f>
        <v/>
      </c>
      <c r="J24" s="47">
        <f>I24+J23</f>
        <v/>
      </c>
      <c r="K24" s="47">
        <f>J24+K23</f>
        <v/>
      </c>
      <c r="L24" s="47">
        <f>K24+L23</f>
        <v/>
      </c>
      <c r="M24" s="47">
        <f>L24+M23</f>
        <v/>
      </c>
      <c r="N24" s="47">
        <f>M24+N23</f>
        <v/>
      </c>
      <c r="O24" s="47">
        <f>N24+O23</f>
        <v/>
      </c>
      <c r="P24" s="47">
        <f>O24+P23</f>
        <v/>
      </c>
      <c r="Q24" s="47">
        <f>P24+Q23</f>
        <v/>
      </c>
      <c r="R24" s="47">
        <f>Q24+R23</f>
        <v/>
      </c>
      <c r="S24" s="47">
        <f>R24+S23</f>
        <v/>
      </c>
      <c r="T24" s="45" t="n"/>
    </row>
    <row r="25" ht="22" customHeight="1">
      <c r="A25" s="48" t="inlineStr">
        <is>
          <t>判定</t>
        </is>
      </c>
      <c r="B25" s="49" t="inlineStr">
        <is>
          <t>全車に耐用年数内の電池1個以上</t>
        </is>
      </c>
      <c r="C25" s="48">
        <f>IF(C$5&lt;9,"－",IF(AND(MAX(C8:C9)&gt;=C$5-$B$3+1,MAX(C12:C13)&gt;=C$5-$B$3+1,MAX(C16:C17)&gt;=C$5-$B$3+1,MAX(C20:C21)&gt;=C$5-$B$3+1),"○","×"))</f>
        <v/>
      </c>
      <c r="D25" s="48">
        <f>IF(D$5&lt;9,"－",IF(AND(MAX(D8:D9)&gt;=D$5-$B$3+1,MAX(D12:D13)&gt;=D$5-$B$3+1,MAX(D16:D17)&gt;=D$5-$B$3+1,MAX(D20:D21)&gt;=D$5-$B$3+1),"○","×"))</f>
        <v/>
      </c>
      <c r="E25" s="48">
        <f>IF(E$5&lt;9,"－",IF(AND(MAX(E8:E9)&gt;=E$5-$B$3+1,MAX(E12:E13)&gt;=E$5-$B$3+1,MAX(E16:E17)&gt;=E$5-$B$3+1,MAX(E20:E21)&gt;=E$5-$B$3+1),"○","×"))</f>
        <v/>
      </c>
      <c r="F25" s="48">
        <f>IF(F$5&lt;9,"－",IF(AND(MAX(F8:F9)&gt;=F$5-$B$3+1,MAX(F12:F13)&gt;=F$5-$B$3+1,MAX(F16:F17)&gt;=F$5-$B$3+1,MAX(F20:F21)&gt;=F$5-$B$3+1),"○","×"))</f>
        <v/>
      </c>
      <c r="G25" s="48">
        <f>IF(G$5&lt;9,"－",IF(AND(MAX(G8:G9)&gt;=G$5-$B$3+1,MAX(G12:G13)&gt;=G$5-$B$3+1,MAX(G16:G17)&gt;=G$5-$B$3+1,MAX(G20:G21)&gt;=G$5-$B$3+1),"○","×"))</f>
        <v/>
      </c>
      <c r="H25" s="48">
        <f>IF(H$5&lt;9,"－",IF(AND(MAX(H8:H9)&gt;=H$5-$B$3+1,MAX(H12:H13)&gt;=H$5-$B$3+1,MAX(H16:H17)&gt;=H$5-$B$3+1,MAX(H20:H21)&gt;=H$5-$B$3+1),"○","×"))</f>
        <v/>
      </c>
      <c r="I25" s="48">
        <f>IF(I$5&lt;9,"－",IF(AND(MAX(I8:I9)&gt;=I$5-$B$3+1,MAX(I12:I13)&gt;=I$5-$B$3+1,MAX(I16:I17)&gt;=I$5-$B$3+1,MAX(I20:I21)&gt;=I$5-$B$3+1),"○","×"))</f>
        <v/>
      </c>
      <c r="J25" s="48">
        <f>IF(J$5&lt;9,"－",IF(AND(MAX(J8:J9)&gt;=J$5-$B$3+1,MAX(J12:J13)&gt;=J$5-$B$3+1,MAX(J16:J17)&gt;=J$5-$B$3+1,MAX(J20:J21)&gt;=J$5-$B$3+1),"○","×"))</f>
        <v/>
      </c>
      <c r="K25" s="48">
        <f>IF(K$5&lt;9,"－",IF(AND(MAX(K8:K9)&gt;=K$5-$B$3+1,MAX(K12:K13)&gt;=K$5-$B$3+1,MAX(K16:K17)&gt;=K$5-$B$3+1,MAX(K20:K21)&gt;=K$5-$B$3+1),"○","×"))</f>
        <v/>
      </c>
      <c r="L25" s="48">
        <f>IF(L$5&lt;9,"－",IF(AND(MAX(L8:L9)&gt;=L$5-$B$3+1,MAX(L12:L13)&gt;=L$5-$B$3+1,MAX(L16:L17)&gt;=L$5-$B$3+1,MAX(L20:L21)&gt;=L$5-$B$3+1),"○","×"))</f>
        <v/>
      </c>
      <c r="M25" s="48">
        <f>IF(M$5&lt;9,"－",IF(AND(MAX(M8:M9)&gt;=M$5-$B$3+1,MAX(M12:M13)&gt;=M$5-$B$3+1,MAX(M16:M17)&gt;=M$5-$B$3+1,MAX(M20:M21)&gt;=M$5-$B$3+1),"○","×"))</f>
        <v/>
      </c>
      <c r="N25" s="48">
        <f>IF(N$5&lt;9,"－",IF(AND(MAX(N8:N9)&gt;=N$5-$B$3+1,MAX(N12:N13)&gt;=N$5-$B$3+1,MAX(N16:N17)&gt;=N$5-$B$3+1,MAX(N20:N21)&gt;=N$5-$B$3+1),"○","×"))</f>
        <v/>
      </c>
      <c r="O25" s="48">
        <f>IF(O$5&lt;9,"－",IF(AND(MAX(O8:O9)&gt;=O$5-$B$3+1,MAX(O12:O13)&gt;=O$5-$B$3+1,MAX(O16:O17)&gt;=O$5-$B$3+1,MAX(O20:O21)&gt;=O$5-$B$3+1),"○","×"))</f>
        <v/>
      </c>
      <c r="P25" s="48">
        <f>IF(P$5&lt;9,"－",IF(AND(MAX(P8:P9)&gt;=P$5-$B$3+1,MAX(P12:P13)&gt;=P$5-$B$3+1,MAX(P16:P17)&gt;=P$5-$B$3+1,MAX(P20:P21)&gt;=P$5-$B$3+1),"○","×"))</f>
        <v/>
      </c>
      <c r="Q25" s="48">
        <f>IF(Q$5&lt;9,"－",IF(AND(MAX(Q8:Q9)&gt;=Q$5-$B$3+1,MAX(Q12:Q13)&gt;=Q$5-$B$3+1,MAX(Q16:Q17)&gt;=Q$5-$B$3+1,MAX(Q20:Q21)&gt;=Q$5-$B$3+1),"○","×"))</f>
        <v/>
      </c>
      <c r="R25" s="48">
        <f>IF(R$5&lt;9,"－",IF(AND(MAX(R8:R9)&gt;=R$5-$B$3+1,MAX(R12:R13)&gt;=R$5-$B$3+1,MAX(R16:R17)&gt;=R$5-$B$3+1,MAX(R20:R21)&gt;=R$5-$B$3+1),"○","×"))</f>
        <v/>
      </c>
      <c r="S25" s="48">
        <f>IF(S$5&lt;9,"－",IF(AND(MAX(S8:S9)&gt;=S$5-$B$3+1,MAX(S12:S13)&gt;=S$5-$B$3+1,MAX(S16:S17)&gt;=S$5-$B$3+1,MAX(S20:S21)&gt;=S$5-$B$3+1),"○","×"))</f>
        <v/>
      </c>
      <c r="T25" s="48">
        <f>IF(COUNTIF(I25:S25,"×")=0,"全年度OK","要確認")</f>
        <v/>
      </c>
    </row>
    <row r="27">
      <c r="A27" s="50" t="inlineStr">
        <is>
          <t>凡例</t>
        </is>
      </c>
    </row>
    <row r="28">
      <c r="A28" s="51" t="inlineStr"/>
      <c r="B28" s="2" t="inlineStr">
        <is>
          <t>新規配備／機器更新（新品電池2個付属）</t>
        </is>
      </c>
    </row>
    <row r="29">
      <c r="A29" s="52" t="inlineStr"/>
      <c r="B29" s="2" t="inlineStr">
        <is>
          <t>保守点検（新品電池1個付属）</t>
        </is>
      </c>
    </row>
    <row r="30">
      <c r="A30" s="53" t="inlineStr"/>
      <c r="B30" s="2" t="inlineStr">
        <is>
          <t>予備バッテリ購入</t>
        </is>
      </c>
    </row>
    <row r="31">
      <c r="A31" s="54" t="inlineStr"/>
      <c r="B31" s="2" t="inlineStr">
        <is>
          <t>車両間でのバッテリ入替（購入なし）</t>
        </is>
      </c>
    </row>
    <row r="32">
      <c r="A32" s="10" t="inlineStr"/>
      <c r="B32" s="2" t="inlineStr">
        <is>
          <t>実績年度（R3〜R8）</t>
        </is>
      </c>
    </row>
    <row r="34">
      <c r="A34" s="2" t="inlineStr">
        <is>
          <t>※「搭載バッテリ（新）（旧）」は、その年度末時点で各車に積んでいる2個の電池の導入年度。</t>
        </is>
      </c>
    </row>
    <row r="35">
      <c r="A35" s="2" t="inlineStr">
        <is>
          <t>※ 購入数・判定はすべて数式。判定基準（B3）を書き換えると全年度の判定が再計算される（搭載計画そのものは自動では変わらない）。</t>
        </is>
      </c>
    </row>
    <row r="36">
      <c r="A36" s="2" t="inlineStr">
        <is>
          <t>※ 判定は R9 以降のみ（R3〜R8 は実績のため「－」）。B3=4 のとき全年度「○」。</t>
        </is>
      </c>
    </row>
    <row r="37">
      <c r="A37" s="2" t="inlineStr">
        <is>
          <t>※ R9の予備バッテリ購入は0個。救2の機器更新で新品2個が入るため。</t>
        </is>
      </c>
    </row>
  </sheetData>
  <mergeCells count="4">
    <mergeCell ref="A7:A10"/>
    <mergeCell ref="A19:A22"/>
    <mergeCell ref="A11:A14"/>
    <mergeCell ref="A15:A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2" customWidth="1" min="4" max="4"/>
  </cols>
  <sheetData>
    <row r="1">
      <c r="A1" s="1" t="inlineStr">
        <is>
          <t>年度ごとのバッテリ入替・購入作業</t>
        </is>
      </c>
    </row>
    <row r="2">
      <c r="A2" s="2" t="inlineStr">
        <is>
          <t>各年度に行う作業。購入がない年度も入替作業が必要なので注意。</t>
        </is>
      </c>
    </row>
    <row r="4">
      <c r="A4" s="55" t="inlineStr">
        <is>
          <t>【3年維持版】（導入年度＋2年度以内の電池を1個以上維持）</t>
        </is>
      </c>
      <c r="B4" s="56" t="n"/>
      <c r="C4" s="56" t="n"/>
      <c r="D4" s="57" t="n"/>
    </row>
    <row r="5">
      <c r="A5" s="5" t="inlineStr">
        <is>
          <t>年度</t>
        </is>
      </c>
      <c r="B5" s="5" t="inlineStr">
        <is>
          <t>実施内容</t>
        </is>
      </c>
      <c r="C5" s="5" t="inlineStr">
        <is>
          <t>購入数</t>
        </is>
      </c>
      <c r="D5" s="5" t="inlineStr">
        <is>
          <t>備考</t>
        </is>
      </c>
    </row>
    <row r="6">
      <c r="A6" s="58" t="n">
        <v>9</v>
      </c>
      <c r="B6" s="59" t="inlineStr">
        <is>
          <t>救2機器更新。旧救2本体（電池R3・R7）を救4へ載せ替え／救2の新品1個と救1のR3を交換</t>
        </is>
      </c>
      <c r="C6" s="12" t="n">
        <v>0</v>
      </c>
      <c r="D6" s="40" t="inlineStr">
        <is>
          <t>入替のみ（購入なし）</t>
        </is>
      </c>
    </row>
    <row r="7">
      <c r="A7" s="60" t="n">
        <v>10</v>
      </c>
      <c r="B7" s="59" t="inlineStr">
        <is>
          <t>1個購入 → 救4に搭載（R3を降ろす）</t>
        </is>
      </c>
      <c r="C7" s="11" t="n">
        <v>1</v>
      </c>
      <c r="D7" s="40" t="inlineStr">
        <is>
          <t>購入あり</t>
        </is>
      </c>
    </row>
    <row r="8">
      <c r="A8" s="60" t="n">
        <v>11</v>
      </c>
      <c r="B8" s="59" t="inlineStr">
        <is>
          <t>1個購入 → 救3に搭載（R3を降ろす）</t>
        </is>
      </c>
      <c r="C8" s="11" t="n">
        <v>1</v>
      </c>
      <c r="D8" s="40" t="inlineStr">
        <is>
          <t>購入あり</t>
        </is>
      </c>
    </row>
    <row r="9">
      <c r="A9" s="58" t="n">
        <v>12</v>
      </c>
      <c r="B9" s="59" t="inlineStr">
        <is>
          <t>救3機器更新。新品1個 → 救2へ／旧救3本体のR11 → 救1へ</t>
        </is>
      </c>
      <c r="C9" s="12" t="n">
        <v>0</v>
      </c>
      <c r="D9" s="40" t="inlineStr">
        <is>
          <t>入替のみ（購入なし）</t>
        </is>
      </c>
    </row>
    <row r="10">
      <c r="A10" s="58" t="n">
        <v>13</v>
      </c>
      <c r="B10" s="59" t="inlineStr">
        <is>
          <t>救2保守点検の新品 → 救4へ</t>
        </is>
      </c>
      <c r="C10" s="12" t="n">
        <v>0</v>
      </c>
      <c r="D10" s="40" t="inlineStr">
        <is>
          <t>入替のみ（購入なし）</t>
        </is>
      </c>
    </row>
    <row r="11">
      <c r="A11" s="58" t="n">
        <v>14</v>
      </c>
      <c r="B11" s="59" t="inlineStr">
        <is>
          <t>救4機器更新。旧救4本体のR13 → 救1へ</t>
        </is>
      </c>
      <c r="C11" s="12" t="n">
        <v>0</v>
      </c>
      <c r="D11" s="40" t="inlineStr">
        <is>
          <t>入替のみ（購入なし）</t>
        </is>
      </c>
    </row>
    <row r="12">
      <c r="A12" s="60" t="n">
        <v>15</v>
      </c>
      <c r="B12" s="59" t="inlineStr">
        <is>
          <t>救4の新品予備1個 → 救2へ（救2のR9を救4へ）／1個購入 → 救3に搭載</t>
        </is>
      </c>
      <c r="C12" s="11" t="n">
        <v>1</v>
      </c>
      <c r="D12" s="40" t="inlineStr">
        <is>
          <t>購入あり</t>
        </is>
      </c>
    </row>
    <row r="13">
      <c r="A13" s="58" t="n">
        <v>16</v>
      </c>
      <c r="B13" s="59" t="inlineStr">
        <is>
          <t>救3保守点検の新品 → 救1へ</t>
        </is>
      </c>
      <c r="C13" s="12" t="n">
        <v>0</v>
      </c>
      <c r="D13" s="40" t="inlineStr">
        <is>
          <t>入替のみ（購入なし）</t>
        </is>
      </c>
    </row>
    <row r="14">
      <c r="A14" s="60" t="n">
        <v>17</v>
      </c>
      <c r="B14" s="59" t="inlineStr">
        <is>
          <t>救4保守点検（新品1個）／1個購入 → 救2に搭載</t>
        </is>
      </c>
      <c r="C14" s="11" t="n">
        <v>1</v>
      </c>
      <c r="D14" s="40" t="inlineStr">
        <is>
          <t>購入あり</t>
        </is>
      </c>
    </row>
    <row r="15">
      <c r="A15" s="60" t="n">
        <v>18</v>
      </c>
      <c r="B15" s="59" t="inlineStr">
        <is>
          <t>1個購入 → 救3に搭載</t>
        </is>
      </c>
      <c r="C15" s="11" t="n">
        <v>1</v>
      </c>
      <c r="D15" s="40" t="inlineStr">
        <is>
          <t>購入あり</t>
        </is>
      </c>
    </row>
    <row r="16">
      <c r="A16" s="60" t="n">
        <v>19</v>
      </c>
      <c r="B16" s="59" t="inlineStr">
        <is>
          <t>1個購入 → 救1に搭載</t>
        </is>
      </c>
      <c r="C16" s="11" t="n">
        <v>1</v>
      </c>
      <c r="D16" s="40" t="inlineStr">
        <is>
          <t>購入あり</t>
        </is>
      </c>
    </row>
    <row r="17">
      <c r="A17" s="42" t="inlineStr">
        <is>
          <t>合計</t>
        </is>
      </c>
      <c r="B17" s="45" t="inlineStr"/>
      <c r="C17" s="13">
        <f>SUM(C6:C16)</f>
        <v/>
      </c>
      <c r="D17" s="45" t="inlineStr"/>
    </row>
    <row r="20">
      <c r="A20" s="55" t="inlineStr">
        <is>
          <t>【4年維持版】（導入年度＋3年度以内の電池を1個以上維持）</t>
        </is>
      </c>
      <c r="B20" s="56" t="n"/>
      <c r="C20" s="56" t="n"/>
      <c r="D20" s="57" t="n"/>
    </row>
    <row r="21">
      <c r="A21" s="5" t="inlineStr">
        <is>
          <t>年度</t>
        </is>
      </c>
      <c r="B21" s="5" t="inlineStr">
        <is>
          <t>実施内容</t>
        </is>
      </c>
      <c r="C21" s="5" t="inlineStr">
        <is>
          <t>購入数</t>
        </is>
      </c>
      <c r="D21" s="5" t="inlineStr">
        <is>
          <t>備考</t>
        </is>
      </c>
    </row>
    <row r="22">
      <c r="A22" s="58" t="n">
        <v>9</v>
      </c>
      <c r="B22" s="59" t="inlineStr">
        <is>
          <t>救2機器更新。旧救2本体（電池R3・R7）を救4へ載せ替え（購入なし）</t>
        </is>
      </c>
      <c r="C22" s="12" t="n">
        <v>0</v>
      </c>
      <c r="D22" s="40" t="inlineStr">
        <is>
          <t>入替のみ（購入なし）</t>
        </is>
      </c>
    </row>
    <row r="23">
      <c r="A23" s="58" t="n">
        <v>10</v>
      </c>
      <c r="B23" s="59" t="inlineStr">
        <is>
          <t>救2の新品1個と救1のR3を交換</t>
        </is>
      </c>
      <c r="C23" s="12" t="n">
        <v>0</v>
      </c>
      <c r="D23" s="40" t="inlineStr">
        <is>
          <t>入替のみ（購入なし）</t>
        </is>
      </c>
    </row>
    <row r="24">
      <c r="A24" s="60" t="n">
        <v>11</v>
      </c>
      <c r="B24" s="59" t="inlineStr">
        <is>
          <t>1個購入 → 救4に搭載（R3を降ろす）</t>
        </is>
      </c>
      <c r="C24" s="11" t="n">
        <v>1</v>
      </c>
      <c r="D24" s="40" t="inlineStr">
        <is>
          <t>購入あり</t>
        </is>
      </c>
    </row>
    <row r="25">
      <c r="A25" s="58" t="n">
        <v>12</v>
      </c>
      <c r="B25" s="59" t="inlineStr">
        <is>
          <t>救3機器更新。新品1個 → 救1へ（救1のR6を降ろす）</t>
        </is>
      </c>
      <c r="C25" s="12" t="n">
        <v>0</v>
      </c>
      <c r="D25" s="40" t="inlineStr">
        <is>
          <t>入替のみ（購入なし）</t>
        </is>
      </c>
    </row>
    <row r="26">
      <c r="A26" s="58" t="n">
        <v>13</v>
      </c>
      <c r="B26" s="59" t="inlineStr">
        <is>
          <t>救2保守点検（新品1個）</t>
        </is>
      </c>
      <c r="C26" s="12" t="n">
        <v>0</v>
      </c>
      <c r="D26" s="40" t="inlineStr">
        <is>
          <t>入替のみ（購入なし）</t>
        </is>
      </c>
    </row>
    <row r="27">
      <c r="A27" s="58" t="n">
        <v>14</v>
      </c>
      <c r="B27" s="59" t="inlineStr">
        <is>
          <t>救4機器更新。新品1個 → 救1へ（救1のR9を降ろす）</t>
        </is>
      </c>
      <c r="C27" s="12" t="n">
        <v>0</v>
      </c>
      <c r="D27" s="40" t="inlineStr">
        <is>
          <t>入替のみ（購入なし）</t>
        </is>
      </c>
    </row>
    <row r="28">
      <c r="A28" s="58" t="n">
        <v>16</v>
      </c>
      <c r="B28" s="59" t="inlineStr">
        <is>
          <t>救3保守点検（新品1個）</t>
        </is>
      </c>
      <c r="C28" s="12" t="n">
        <v>0</v>
      </c>
      <c r="D28" s="40" t="inlineStr">
        <is>
          <t>入替のみ（購入なし）</t>
        </is>
      </c>
    </row>
    <row r="29">
      <c r="A29" s="58" t="n">
        <v>17</v>
      </c>
      <c r="B29" s="59" t="inlineStr">
        <is>
          <t>救4保守点検の新品 → 救2へ</t>
        </is>
      </c>
      <c r="C29" s="12" t="n">
        <v>0</v>
      </c>
      <c r="D29" s="40" t="inlineStr">
        <is>
          <t>入替のみ（購入なし）</t>
        </is>
      </c>
    </row>
    <row r="30">
      <c r="A30" s="60" t="n">
        <v>18</v>
      </c>
      <c r="B30" s="59" t="inlineStr">
        <is>
          <t>2個購入 → 救1・救4に搭載</t>
        </is>
      </c>
      <c r="C30" s="11" t="n">
        <v>2</v>
      </c>
      <c r="D30" s="40" t="inlineStr">
        <is>
          <t>購入あり</t>
        </is>
      </c>
    </row>
    <row r="31">
      <c r="A31" s="42" t="inlineStr">
        <is>
          <t>合計</t>
        </is>
      </c>
      <c r="B31" s="45" t="inlineStr"/>
      <c r="C31" s="13">
        <f>SUM(C22:C30)</f>
        <v/>
      </c>
      <c r="D31" s="45" t="inlineStr"/>
    </row>
    <row r="34">
      <c r="A34" s="2" t="inlineStr">
        <is>
          <t>※ R9は両案とも購入0個。救急犬山2の機器更新で新品バッテリ2個が入るため。</t>
        </is>
      </c>
    </row>
    <row r="35">
      <c r="A35" s="2" t="inlineStr">
        <is>
          <t>※ R7（実績）に救急犬山1の車両更新があり、ルーカスは購入せず救急犬山4の本体を載せ替えている。救急犬山4はR9に旧救急犬山2本体を受領するまで積載なし。</t>
        </is>
      </c>
    </row>
    <row r="36">
      <c r="A36" s="2" t="inlineStr">
        <is>
          <t>※ 「交換」は2台の車の間で電池を入れ替えること。「→○○へ」は付属してきた新品を別の車に回すこと。</t>
        </is>
      </c>
    </row>
    <row r="37">
      <c r="A37" s="2" t="inlineStr">
        <is>
          <t>※ 機器更新で外した旧本体に付いていた電池は、新本体で使用できるか事前にメーカーへ要確認。</t>
        </is>
      </c>
    </row>
  </sheetData>
  <mergeCells count="2">
    <mergeCell ref="A4:D4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  <col width="26" customWidth="1" min="4" max="4"/>
  </cols>
  <sheetData>
    <row r="1">
      <c r="A1" s="1" t="inlineStr">
        <is>
          <t>前提条件・元資料の内容</t>
        </is>
      </c>
    </row>
    <row r="2">
      <c r="A2" s="2" t="inlineStr">
        <is>
          <t>本計画の計算根拠。数値を見直す場合はここを確認すること。</t>
        </is>
      </c>
    </row>
    <row r="4">
      <c r="A4" s="55" t="inlineStr">
        <is>
          <t>1．機器及び付属品の耐用期間（元資料より）</t>
        </is>
      </c>
      <c r="B4" s="56" t="n"/>
      <c r="C4" s="57" t="n"/>
    </row>
    <row r="5">
      <c r="A5" s="59" t="inlineStr">
        <is>
          <t>LUCAS3本体</t>
        </is>
      </c>
      <c r="B5" s="59" t="inlineStr">
        <is>
          <t>8年</t>
        </is>
      </c>
      <c r="C5" s="59" t="inlineStr"/>
    </row>
    <row r="6">
      <c r="A6" s="59" t="inlineStr">
        <is>
          <t>バッテリ</t>
        </is>
      </c>
      <c r="B6" s="59" t="inlineStr">
        <is>
          <t>3年〜4年</t>
        </is>
      </c>
      <c r="C6" s="59" t="inlineStr">
        <is>
          <t>使用頻度と実際は3年目にバッテリエラー表示</t>
        </is>
      </c>
    </row>
    <row r="8">
      <c r="A8" s="55" t="inlineStr">
        <is>
          <t>2．バッテリの供給元（付属する新品の個数）</t>
        </is>
      </c>
      <c r="B8" s="56" t="n"/>
      <c r="C8" s="57" t="n"/>
    </row>
    <row r="9">
      <c r="A9" s="59" t="inlineStr">
        <is>
          <t>新規配備</t>
        </is>
      </c>
      <c r="B9" s="59" t="inlineStr">
        <is>
          <t>新品2個</t>
        </is>
      </c>
      <c r="C9" s="59" t="inlineStr"/>
    </row>
    <row r="10">
      <c r="A10" s="59" t="inlineStr">
        <is>
          <t>機器更新（車両更新）</t>
        </is>
      </c>
      <c r="B10" s="59" t="inlineStr">
        <is>
          <t>新品2個</t>
        </is>
      </c>
      <c r="C10" s="59" t="inlineStr">
        <is>
          <t>新規配備と同じ</t>
        </is>
      </c>
    </row>
    <row r="11">
      <c r="A11" s="59" t="inlineStr">
        <is>
          <t>保守点検</t>
        </is>
      </c>
      <c r="B11" s="59" t="inlineStr">
        <is>
          <t>新品1個</t>
        </is>
      </c>
      <c r="C11" s="59" t="inlineStr">
        <is>
          <t>保守点検プランは「基本保守点検」</t>
        </is>
      </c>
    </row>
    <row r="12">
      <c r="A12" s="59" t="inlineStr">
        <is>
          <t>予備バッテリ購入</t>
        </is>
      </c>
      <c r="B12" s="59" t="inlineStr">
        <is>
          <t>購入した個数</t>
        </is>
      </c>
      <c r="C12" s="59" t="inlineStr">
        <is>
          <t>不足分のみ購入</t>
        </is>
      </c>
    </row>
    <row r="14">
      <c r="A14" s="55" t="inlineStr">
        <is>
          <t>3．判定ルール</t>
        </is>
      </c>
      <c r="B14" s="56" t="n"/>
      <c r="C14" s="57" t="n"/>
    </row>
    <row r="15">
      <c r="A15" s="59" t="inlineStr">
        <is>
          <t>各車の搭載数</t>
        </is>
      </c>
      <c r="B15" s="59" t="inlineStr">
        <is>
          <t>2個</t>
        </is>
      </c>
      <c r="C15" s="59" t="inlineStr"/>
    </row>
    <row r="16">
      <c r="A16" s="59" t="inlineStr">
        <is>
          <t>3年維持版</t>
        </is>
      </c>
      <c r="B16" s="59" t="inlineStr">
        <is>
          <t>2個のうち1個が「導入年度＋2年度以内」ならOK</t>
        </is>
      </c>
      <c r="C16" s="59" t="inlineStr"/>
    </row>
    <row r="17">
      <c r="A17" s="59" t="inlineStr">
        <is>
          <t>4年維持版</t>
        </is>
      </c>
      <c r="B17" s="59" t="inlineStr">
        <is>
          <t>2個のうち1個が「導入年度＋3年度以内」ならOK</t>
        </is>
      </c>
      <c r="C17" s="59" t="inlineStr"/>
    </row>
    <row r="18">
      <c r="A18" s="59" t="inlineStr">
        <is>
          <t>購入数の考え方</t>
        </is>
      </c>
      <c r="B18" s="59" t="inlineStr">
        <is>
          <t>配備台数 − 直近N年度に入った付属の新品数 − 同じ期間の購入数（0未満は0）</t>
        </is>
      </c>
      <c r="C18" s="59" t="inlineStr">
        <is>
          <t>期限が来た年度に、足りない分だけ購入</t>
        </is>
      </c>
    </row>
    <row r="19">
      <c r="A19" s="59" t="inlineStr">
        <is>
          <t>延命の扱い</t>
        </is>
      </c>
      <c r="B19" s="59" t="inlineStr">
        <is>
          <t>交換推奨は3〜4年だが、新品が来るまでは使用を継続（延命）</t>
        </is>
      </c>
      <c r="C19" s="59" t="inlineStr"/>
    </row>
    <row r="21">
      <c r="A21" s="55" t="inlineStr">
        <is>
          <t>4．機器スケジュール　※年度は元資料（2026.5修正）のまま。載せ替え先のみ修正</t>
        </is>
      </c>
      <c r="B21" s="56" t="n"/>
      <c r="C21" s="57" t="n"/>
    </row>
    <row r="22">
      <c r="A22" s="5" t="inlineStr">
        <is>
          <t>車両</t>
        </is>
      </c>
      <c r="B22" s="5" t="inlineStr">
        <is>
          <t>新規配備</t>
        </is>
      </c>
      <c r="C22" s="5" t="inlineStr">
        <is>
          <t>保守点検</t>
        </is>
      </c>
      <c r="D22" s="5" t="inlineStr">
        <is>
          <t>機器更新（車両更新）</t>
        </is>
      </c>
    </row>
    <row r="23">
      <c r="A23" s="61" t="inlineStr">
        <is>
          <t>救急犬山1</t>
        </is>
      </c>
      <c r="B23" s="12" t="inlineStr">
        <is>
          <t>―</t>
        </is>
      </c>
      <c r="C23" s="12" t="inlineStr">
        <is>
          <t>―（元資料に記載なし）</t>
        </is>
      </c>
      <c r="D23" s="12" t="inlineStr">
        <is>
          <t>R7　車両更新。ルーカスは購入せず救4の本体を載せ替え</t>
        </is>
      </c>
    </row>
    <row r="24">
      <c r="A24" s="61" t="inlineStr">
        <is>
          <t>救急犬山2</t>
        </is>
      </c>
      <c r="B24" s="12" t="inlineStr">
        <is>
          <t>R3</t>
        </is>
      </c>
      <c r="C24" s="12" t="inlineStr">
        <is>
          <t>R7、R13</t>
        </is>
      </c>
      <c r="D24" s="12" t="inlineStr">
        <is>
          <t>R9　旧本体は救4へ載せ替え</t>
        </is>
      </c>
    </row>
    <row r="25">
      <c r="A25" s="61" t="inlineStr">
        <is>
          <t>救急犬山3</t>
        </is>
      </c>
      <c r="B25" s="12" t="inlineStr">
        <is>
          <t>R3</t>
        </is>
      </c>
      <c r="C25" s="12" t="inlineStr">
        <is>
          <t>R8、R16</t>
        </is>
      </c>
      <c r="D25" s="12" t="inlineStr">
        <is>
          <t>R12</t>
        </is>
      </c>
    </row>
    <row r="26">
      <c r="A26" s="61" t="inlineStr">
        <is>
          <t>救急犬山4</t>
        </is>
      </c>
      <c r="B26" s="12" t="inlineStr">
        <is>
          <t>R3</t>
        </is>
      </c>
      <c r="C26" s="12" t="inlineStr">
        <is>
          <t>R6、R17</t>
        </is>
      </c>
      <c r="D26" s="12" t="inlineStr">
        <is>
          <t>R14　※R7〜R8は積載なし、R9に旧救2本体を受領</t>
        </is>
      </c>
    </row>
    <row r="28">
      <c r="A28" s="55" t="inlineStr">
        <is>
          <t>5．元資料の備考</t>
        </is>
      </c>
      <c r="B28" s="56" t="n"/>
      <c r="C28" s="57" t="n"/>
    </row>
    <row r="29" ht="16" customHeight="1">
      <c r="A29" s="59" t="inlineStr">
        <is>
          <t>・LUCAS本体の更新は、救急車車両更新(11年)併せて実施する。</t>
        </is>
      </c>
      <c r="B29" s="56" t="n"/>
      <c r="C29" s="56" t="n"/>
      <c r="D29" s="57" t="n"/>
    </row>
    <row r="30" ht="16" customHeight="1">
      <c r="A30" s="59" t="inlineStr">
        <is>
          <t>・保守点検は出動件数の多い車両の機器から順に実施する。</t>
        </is>
      </c>
      <c r="B30" s="56" t="n"/>
      <c r="C30" s="56" t="n"/>
      <c r="D30" s="57" t="n"/>
    </row>
    <row r="31" ht="16" customHeight="1">
      <c r="A31" s="59" t="inlineStr">
        <is>
          <t>・保守点検プランはLUCAS3メンテナンスサービス表の「基本保守点検」とする。</t>
        </is>
      </c>
      <c r="B31" s="56" t="n"/>
      <c r="C31" s="56" t="n"/>
      <c r="D31" s="57" t="n"/>
    </row>
    <row r="32" ht="16" customHeight="1">
      <c r="A32" s="59" t="inlineStr">
        <is>
          <t>・バッテリは保守点検時に新品1個が付属するが、保守点検とは別に予備バッテリの購入を行い、常に耐用年数内のバッテリが1つは積載されている状態で運用を行う。</t>
        </is>
      </c>
      <c r="B32" s="56" t="n"/>
      <c r="C32" s="56" t="n"/>
      <c r="D32" s="57" t="n"/>
    </row>
    <row r="34">
      <c r="A34" s="55" t="inlineStr">
        <is>
          <t>6．本計画で置いた前提</t>
        </is>
      </c>
      <c r="B34" s="56" t="n"/>
      <c r="C34" s="57" t="n"/>
    </row>
    <row r="35">
      <c r="A35" s="59" t="inlineStr">
        <is>
          <t>・R7に救急犬山1の車両更新。ルーカス本体は購入せず、救急犬山4の本体（バッテリR3・R6付き）を救急犬山1へ載せ替える。</t>
        </is>
      </c>
      <c r="B35" s="56" t="n"/>
      <c r="C35" s="56" t="n"/>
      <c r="D35" s="57" t="n"/>
    </row>
    <row r="36">
      <c r="A36" s="59" t="inlineStr">
        <is>
          <t>・R7〜R8の間、救急犬山4は積載なし（この期間はバッテリ計画の対象外）。</t>
        </is>
      </c>
      <c r="B36" s="56" t="n"/>
      <c r="C36" s="56" t="n"/>
      <c r="D36" s="57" t="n"/>
    </row>
    <row r="37">
      <c r="A37" s="59" t="inlineStr">
        <is>
          <t>・R9に、旧救急犬山2本体（バッテリR3・R7付き）を救急犬山4へ載せ替える。</t>
        </is>
      </c>
      <c r="B37" s="56" t="n"/>
      <c r="C37" s="56" t="n"/>
      <c r="D37" s="57" t="n"/>
    </row>
    <row r="38">
      <c r="A38" s="59" t="inlineStr">
        <is>
          <t>・機器更新で外した旧本体のバッテリは、他の車で再利用する。</t>
        </is>
      </c>
      <c r="B38" s="56" t="n"/>
      <c r="C38" s="56" t="n"/>
      <c r="D38" s="57" t="n"/>
    </row>
    <row r="39">
      <c r="A39" s="59" t="inlineStr">
        <is>
          <t>・救急犬山1の本体更新は元資料に記載がないため、本計画には含めていない。</t>
        </is>
      </c>
      <c r="B39" s="56" t="n"/>
      <c r="C39" s="56" t="n"/>
      <c r="D39" s="57" t="n"/>
    </row>
    <row r="40">
      <c r="A40" s="59" t="inlineStr">
        <is>
          <t>・R3〜R8は実績として扱い、購入計画はR9（令和9年度）以降を対象とする。</t>
        </is>
      </c>
      <c r="B40" s="56" t="n"/>
      <c r="C40" s="56" t="n"/>
      <c r="D40" s="57" t="n"/>
    </row>
    <row r="42">
      <c r="A42" s="55" t="inlineStr">
        <is>
          <t>7．要確認事項</t>
        </is>
      </c>
      <c r="B42" s="56" t="n"/>
      <c r="C42" s="57" t="n"/>
    </row>
    <row r="43" ht="28" customHeight="1">
      <c r="A43" s="62" t="inlineStr">
        <is>
          <t>・旧本体から外したバッテリが新本体でそのまま使用できるか（メーカー確認）。</t>
        </is>
      </c>
      <c r="B43" s="56" t="n"/>
      <c r="C43" s="56" t="n"/>
      <c r="D43" s="57" t="n"/>
    </row>
    <row r="44" ht="28" customHeight="1">
      <c r="A44" s="62" t="inlineStr">
        <is>
          <t>・救急犬山1の本体は R3配備（旧救4）のため、耐用期間8年は R11 に到達する。R11以降の本体の取扱い（救3・救4の旧本体を回すか等）は元資料に記載がなく、別途検討が必要。</t>
        </is>
      </c>
      <c r="B44" s="56" t="n"/>
      <c r="C44" s="56" t="n"/>
      <c r="D44" s="57" t="n"/>
    </row>
    <row r="45" ht="28" customHeight="1">
      <c r="A45" s="62" t="inlineStr">
        <is>
          <t>・救急犬山1には保守点検が組まれていない（元資料の表に記載がない）ため、本計画もそのまま組んでいる。点検を入れる場合は購入数が変わる。</t>
        </is>
      </c>
      <c r="B45" s="56" t="n"/>
      <c r="C45" s="56" t="n"/>
      <c r="D45" s="57" t="n"/>
    </row>
    <row r="46" ht="28" customHeight="1">
      <c r="A46" s="62" t="inlineStr">
        <is>
          <t>・車両間でバッテリを入れ替える運用が可能か（管理簿・資器材管理上の取扱い）。</t>
        </is>
      </c>
      <c r="B46" s="56" t="n"/>
      <c r="C46" s="56" t="n"/>
      <c r="D46" s="57" t="n"/>
    </row>
    <row r="47" ht="28" customHeight="1">
      <c r="A47" s="62" t="inlineStr">
        <is>
          <t>・入替を行わない場合は、比較まとめシートの「参考」行（3年版12個／4年版5個）となる。</t>
        </is>
      </c>
      <c r="B47" s="56" t="n"/>
      <c r="C47" s="56" t="n"/>
      <c r="D47" s="57" t="n"/>
    </row>
  </sheetData>
  <mergeCells count="22">
    <mergeCell ref="A35:D35"/>
    <mergeCell ref="A38:D38"/>
    <mergeCell ref="A29:D29"/>
    <mergeCell ref="A43:D43"/>
    <mergeCell ref="A21:C21"/>
    <mergeCell ref="A44:D44"/>
    <mergeCell ref="A42:C42"/>
    <mergeCell ref="A40:D40"/>
    <mergeCell ref="A31:D31"/>
    <mergeCell ref="A14:C14"/>
    <mergeCell ref="A8:C8"/>
    <mergeCell ref="A30:D30"/>
    <mergeCell ref="A39:D39"/>
    <mergeCell ref="A4:C4"/>
    <mergeCell ref="A36:D36"/>
    <mergeCell ref="A28:C28"/>
    <mergeCell ref="A45:D45"/>
    <mergeCell ref="A34:C34"/>
    <mergeCell ref="A46:D46"/>
    <mergeCell ref="A37:D37"/>
    <mergeCell ref="A47:D47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2026-09-17T15:25:54Z</dcterms:created>
  <dcterms:modified xsi:type="dcterms:W3CDTF">2026-09-17T15:25:54Z</dcterms:modified>
</cp:coreProperties>
</file>